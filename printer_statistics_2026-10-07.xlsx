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wllen\Desktop\"/>
    </mc:Choice>
  </mc:AlternateContent>
  <xr:revisionPtr revIDLastSave="0" documentId="8_{88BE6D98-4892-4738-B76A-2144277E9DF3}" xr6:coauthVersionLast="47" xr6:coauthVersionMax="47" xr10:uidLastSave="{00000000-0000-0000-0000-000000000000}"/>
  <bookViews>
    <workbookView xWindow="-110" yWindow="-110" windowWidth="25820" windowHeight="15500" xr2:uid="{1A8FC01A-C03A-40E8-A956-EC18ED2B42BD}"/>
  </bookViews>
  <sheets>
    <sheet name="Сводная статистика" sheetId="2" r:id="rId1"/>
    <sheet name="Данные принтеров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7" i="2" l="1"/>
  <c r="X6" i="2"/>
  <c r="X5" i="2"/>
  <c r="X4" i="2"/>
  <c r="X3" i="2"/>
  <c r="X2" i="2"/>
  <c r="B21" i="2"/>
  <c r="Y7" i="2" s="1"/>
  <c r="B20" i="2"/>
  <c r="B12" i="2"/>
  <c r="B11" i="2"/>
  <c r="B7" i="2"/>
  <c r="M14" i="1"/>
  <c r="L14" i="1"/>
  <c r="K14" i="1"/>
  <c r="B19" i="2" s="1"/>
  <c r="J14" i="1"/>
  <c r="B18" i="2" s="1"/>
  <c r="I14" i="1"/>
  <c r="B17" i="2" s="1"/>
  <c r="H14" i="1"/>
  <c r="B16" i="2" s="1"/>
  <c r="G14" i="1"/>
  <c r="F14" i="1"/>
  <c r="E14" i="1"/>
  <c r="D14" i="1"/>
  <c r="B9" i="2" s="1"/>
  <c r="C14" i="1"/>
  <c r="B10" i="2" s="1"/>
  <c r="B8" i="2" l="1"/>
  <c r="Y5" i="2"/>
  <c r="Y3" i="2"/>
  <c r="B22" i="2"/>
  <c r="B25" i="2" s="1"/>
  <c r="Y2" i="2"/>
  <c r="C17" i="2"/>
  <c r="C18" i="2"/>
  <c r="Y4" i="2"/>
  <c r="C20" i="2"/>
  <c r="Y6" i="2"/>
  <c r="C21" i="2" l="1"/>
  <c r="C16" i="2"/>
  <c r="C19" i="2"/>
  <c r="C22" i="2" l="1"/>
</calcChain>
</file>

<file path=xl/sharedStrings.xml><?xml version="1.0" encoding="utf-8"?>
<sst xmlns="http://schemas.openxmlformats.org/spreadsheetml/2006/main" count="74" uniqueCount="67">
  <si>
    <t>Принтер</t>
  </si>
  <si>
    <t>IP</t>
  </si>
  <si>
    <t>Общее время, с</t>
  </si>
  <si>
    <t>Максимальное время, с</t>
  </si>
  <si>
    <t>Материал, мм</t>
  </si>
  <si>
    <t>Общий счётчик</t>
  </si>
  <si>
    <t>Всего по статусам</t>
  </si>
  <si>
    <t>Завершено</t>
  </si>
  <si>
    <t>Отменено</t>
  </si>
  <si>
    <t>Аварийная остановка</t>
  </si>
  <si>
    <t>Ошибка</t>
  </si>
  <si>
    <t>Ошибка системы</t>
  </si>
  <si>
    <t>Неудачно</t>
  </si>
  <si>
    <t>Источник</t>
  </si>
  <si>
    <t>ST-WHE</t>
  </si>
  <si>
    <t>192.168.155.114</t>
  </si>
  <si>
    <t>http://192.168.155.114:7125</t>
  </si>
  <si>
    <t>ST-AB3</t>
  </si>
  <si>
    <t>192.168.155.27</t>
  </si>
  <si>
    <t>http://192.168.155.27:7125</t>
  </si>
  <si>
    <t>ST-VFV</t>
  </si>
  <si>
    <t>192.168.155.87</t>
  </si>
  <si>
    <t>http://192.168.155.87:7125</t>
  </si>
  <si>
    <t>ST-AJN</t>
  </si>
  <si>
    <t>192.168.155.29</t>
  </si>
  <si>
    <t>http://192.168.155.29:7125</t>
  </si>
  <si>
    <t>ST-WV1</t>
  </si>
  <si>
    <t>192.168.155.77</t>
  </si>
  <si>
    <t>http://192.168.155.77:7125</t>
  </si>
  <si>
    <t>ST-FRH</t>
  </si>
  <si>
    <t>192.168.155.89</t>
  </si>
  <si>
    <t>http://192.168.155.89:7125</t>
  </si>
  <si>
    <t>ST-SHB</t>
  </si>
  <si>
    <t>192.168.155.48</t>
  </si>
  <si>
    <t>http://192.168.155.48:7125</t>
  </si>
  <si>
    <t>ST-BRJ</t>
  </si>
  <si>
    <t>192.168.155.80</t>
  </si>
  <si>
    <t>http://192.168.155.80:7125</t>
  </si>
  <si>
    <t>ST-86R</t>
  </si>
  <si>
    <t>192.168.155.171</t>
  </si>
  <si>
    <t>http://192.168.155.171:7125</t>
  </si>
  <si>
    <t>ST-Y10</t>
  </si>
  <si>
    <t>192.168.155.136</t>
  </si>
  <si>
    <t>http://192.168.155.136:7125</t>
  </si>
  <si>
    <t>Итого / максимум</t>
  </si>
  <si>
    <t>Период: вся сохранённая история, без фильтра по датам.</t>
  </si>
  <si>
    <t>Источник: ответы STE APP от 07.10.2026, около 17:10 по Москве.</t>
  </si>
  <si>
    <t>Общий счётчик: /server/printjobs/totals. Статусы: /server/printjobs/stats.</t>
  </si>
  <si>
    <t>Получены данные 10 доступных принтеров из 19 адресов.</t>
  </si>
  <si>
    <t>Недоступные адреса и исходные ответы сохранены в statistics.json рядом с книгой.</t>
  </si>
  <si>
    <t>Общая статистика печати</t>
  </si>
  <si>
    <t>10 доступных принтеров. Срез на 7 октября 2026 года.</t>
  </si>
  <si>
    <t>Статус задания</t>
  </si>
  <si>
    <t>Всего заданий на печать</t>
  </si>
  <si>
    <t>Использовано материала, м</t>
  </si>
  <si>
    <t>Среднее время печати</t>
  </si>
  <si>
    <t>Наибольшее время одной печати</t>
  </si>
  <si>
    <t>Общее время печати</t>
  </si>
  <si>
    <t>Количество принтеров</t>
  </si>
  <si>
    <t>Общая статистика</t>
  </si>
  <si>
    <t>Разница между счётчиками</t>
  </si>
  <si>
    <t>Значение</t>
  </si>
  <si>
    <t>Количество</t>
  </si>
  <si>
    <t>Доля</t>
  </si>
  <si>
    <t>Общий счётчик STE APP и сумма категорий расходятся. Причина не установлена.</t>
  </si>
  <si>
    <t>Среднее время рассчитано по общему счётчику заданий.</t>
  </si>
  <si>
    <t>Диаграмма учитывает все шесть статусов, без строки «Всего».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</si>
</sst>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rial"/>
      <family val="2"/>
      <charset val="204"/>
    </font>
    <font>
      <b/>
      <sz val="2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24445C"/>
        <bgColor indexed="64"/>
      </patternFill>
    </fill>
    <fill>
      <patternFill patternType="solid">
        <fgColor rgb="FFE9EF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3" fontId="5" fillId="3" borderId="0" xfId="0" applyNumberFormat="1" applyFont="1" applyFill="1" applyAlignment="1">
      <alignment vertical="center"/>
    </xf>
    <xf numFmtId="165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0">
                <a:latin typeface="Arial"/>
                <a:ea typeface="Arial"/>
                <a:cs typeface="Arial"/>
              </a:defRPr>
            </a:pPr>
            <a:r>
              <a:rPr lang="ru-RU"/>
              <a:t>Количество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Количество</c:v>
          </c:tx>
          <c:dPt>
            <c:idx val="0"/>
            <c:bubble3D val="0"/>
            <c:spPr>
              <a:solidFill>
                <a:srgbClr val="FEC82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1E2B-4B97-A09E-F2D8E5D0C09D}"/>
              </c:ext>
            </c:extLst>
          </c:dPt>
          <c:dPt>
            <c:idx val="1"/>
            <c:bubble3D val="0"/>
            <c:spPr>
              <a:solidFill>
                <a:srgbClr val="66C76A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4-1E2B-4B97-A09E-F2D8E5D0C09D}"/>
              </c:ext>
            </c:extLst>
          </c:dPt>
          <c:dPt>
            <c:idx val="2"/>
            <c:bubble3D val="0"/>
            <c:spPr>
              <a:solidFill>
                <a:srgbClr val="A44646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5-1E2B-4B97-A09E-F2D8E5D0C09D}"/>
              </c:ext>
            </c:extLst>
          </c:dPt>
          <c:dPt>
            <c:idx val="3"/>
            <c:bubble3D val="0"/>
            <c:spPr>
              <a:solidFill>
                <a:srgbClr val="FF6363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6-1E2B-4B97-A09E-F2D8E5D0C09D}"/>
              </c:ext>
            </c:extLst>
          </c:dPt>
          <c:dPt>
            <c:idx val="4"/>
            <c:bubble3D val="0"/>
            <c:spPr>
              <a:solidFill>
                <a:srgbClr val="5E2F2F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7-1E2B-4B97-A09E-F2D8E5D0C09D}"/>
              </c:ext>
            </c:extLst>
          </c:dPt>
          <c:dPt>
            <c:idx val="5"/>
            <c:bubble3D val="0"/>
            <c:spPr>
              <a:solidFill>
                <a:srgbClr val="A3A3A3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8-1E2B-4B97-A09E-F2D8E5D0C09D}"/>
              </c:ext>
            </c:extLst>
          </c:dPt>
          <c:cat>
            <c:strRef>
              <c:f>'Сводная статистика'!$X$2:$X$7</c:f>
              <c:strCache>
                <c:ptCount val="6"/>
                <c:pt idx="0">
                  <c:v>Отменено</c:v>
                </c:pt>
                <c:pt idx="1">
                  <c:v>Завершено</c:v>
                </c:pt>
                <c:pt idx="2">
                  <c:v>Аварийная остановка</c:v>
                </c:pt>
                <c:pt idx="3">
                  <c:v>Ошибка</c:v>
                </c:pt>
                <c:pt idx="4">
                  <c:v>Ошибка системы</c:v>
                </c:pt>
                <c:pt idx="5">
                  <c:v>Неудачно</c:v>
                </c:pt>
              </c:strCache>
            </c:strRef>
          </c:cat>
          <c:val>
            <c:numRef>
              <c:f>'Сводная статистика'!$Y$2:$Y$7</c:f>
              <c:numCache>
                <c:formatCode>#,##0</c:formatCode>
                <c:ptCount val="6"/>
                <c:pt idx="0">
                  <c:v>1237</c:v>
                </c:pt>
                <c:pt idx="1">
                  <c:v>3063</c:v>
                </c:pt>
                <c:pt idx="2">
                  <c:v>244</c:v>
                </c:pt>
                <c:pt idx="3">
                  <c:v>72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B-4B97-A09E-F2D8E5D0C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1000">
              <a:latin typeface="Arial"/>
              <a:ea typeface="Arial"/>
              <a:cs typeface="Arial"/>
            </a:defRPr>
          </a:pPr>
          <a:endParaRPr lang="ru-RU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>
      <a:solidFill>
        <a:srgbClr val="DDDDD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622300</xdr:colOff>
      <xdr:row>14</xdr:row>
      <xdr:rowOff>190500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0A16A6D-ABF8-E2BC-4791-89762FF3F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6875-0738-40A3-AC28-E89EB3D22948}">
  <dimension ref="A2:Y28"/>
  <sheetViews>
    <sheetView showGridLines="0" tabSelected="1" zoomScale="85" zoomScaleNormal="85" workbookViewId="0">
      <selection activeCell="J16" sqref="J16"/>
    </sheetView>
  </sheetViews>
  <sheetFormatPr defaultRowHeight="14" x14ac:dyDescent="0.35"/>
  <cols>
    <col min="1" max="1" width="49.6328125" style="1" customWidth="1"/>
    <col min="2" max="2" width="36.6328125" style="1" customWidth="1"/>
    <col min="3" max="3" width="12.6328125" style="1" customWidth="1"/>
    <col min="4" max="4" width="3.6328125" style="1" customWidth="1"/>
    <col min="5" max="14" width="9.6328125" style="1" customWidth="1"/>
    <col min="15" max="23" width="8.7265625" style="1"/>
    <col min="24" max="26" width="0" style="1" hidden="1" customWidth="1"/>
    <col min="27" max="16384" width="8.7265625" style="1"/>
  </cols>
  <sheetData>
    <row r="2" spans="1:25" ht="32" customHeight="1" x14ac:dyDescent="0.35">
      <c r="A2" s="11" t="s">
        <v>50</v>
      </c>
      <c r="B2" s="12"/>
      <c r="C2" s="12"/>
      <c r="D2" s="12"/>
      <c r="E2" s="12"/>
      <c r="F2" s="12"/>
      <c r="G2" s="12"/>
      <c r="H2" s="12"/>
      <c r="X2" s="1" t="str">
        <f>A17</f>
        <v>Отменено</v>
      </c>
      <c r="Y2" s="3">
        <f>B17</f>
        <v>1237</v>
      </c>
    </row>
    <row r="3" spans="1:25" ht="25" customHeight="1" x14ac:dyDescent="0.35">
      <c r="A3" s="12" t="s">
        <v>51</v>
      </c>
      <c r="B3" s="12"/>
      <c r="C3" s="12"/>
      <c r="D3" s="12"/>
      <c r="E3" s="12"/>
      <c r="F3" s="12"/>
      <c r="G3" s="12"/>
      <c r="H3" s="12"/>
      <c r="X3" s="1" t="str">
        <f>A16</f>
        <v>Завершено</v>
      </c>
      <c r="Y3" s="3">
        <f>B16</f>
        <v>3063</v>
      </c>
    </row>
    <row r="4" spans="1:25" x14ac:dyDescent="0.35">
      <c r="X4" s="1" t="str">
        <f t="shared" ref="X4:Y7" si="0">A18</f>
        <v>Аварийная остановка</v>
      </c>
      <c r="Y4" s="3">
        <f t="shared" si="0"/>
        <v>244</v>
      </c>
    </row>
    <row r="5" spans="1:25" x14ac:dyDescent="0.35">
      <c r="X5" s="1" t="str">
        <f t="shared" si="0"/>
        <v>Ошибка</v>
      </c>
      <c r="Y5" s="3">
        <f t="shared" si="0"/>
        <v>72</v>
      </c>
    </row>
    <row r="6" spans="1:25" ht="25" customHeight="1" x14ac:dyDescent="0.35">
      <c r="A6" s="5" t="s">
        <v>59</v>
      </c>
      <c r="B6" s="5" t="s">
        <v>61</v>
      </c>
      <c r="X6" s="1" t="str">
        <f t="shared" si="0"/>
        <v>Ошибка системы</v>
      </c>
      <c r="Y6" s="3">
        <f t="shared" si="0"/>
        <v>12</v>
      </c>
    </row>
    <row r="7" spans="1:25" ht="25" customHeight="1" x14ac:dyDescent="0.35">
      <c r="A7" s="1" t="s">
        <v>58</v>
      </c>
      <c r="B7" s="1">
        <f>COUNTA('Данные принтеров'!A2:A11)</f>
        <v>10</v>
      </c>
      <c r="X7" s="1" t="str">
        <f t="shared" si="0"/>
        <v>Неудачно</v>
      </c>
      <c r="Y7" s="3">
        <f t="shared" si="0"/>
        <v>12</v>
      </c>
    </row>
    <row r="8" spans="1:25" ht="25" customHeight="1" x14ac:dyDescent="0.35">
      <c r="A8" s="1" t="s">
        <v>57</v>
      </c>
      <c r="B8" s="1" t="str">
        <f>INT(ROUND('Данные принтеров'!C14,0)/86400)&amp;" д "&amp;INT(MOD(ROUND('Данные принтеров'!C14,0),86400)/3600)&amp;" ч "&amp;INT(MOD(ROUND('Данные принтеров'!C14,0),3600)/60)&amp;" мин "&amp;MOD(ROUND('Данные принтеров'!C14,0),60)&amp;" с"</f>
        <v>765 д 7 ч 38 мин 21 с</v>
      </c>
    </row>
    <row r="9" spans="1:25" ht="25" customHeight="1" x14ac:dyDescent="0.35">
      <c r="A9" s="1" t="s">
        <v>56</v>
      </c>
      <c r="B9" s="1" t="str">
        <f>INT(ROUND('Данные принтеров'!D14,0)/86400)&amp;" д "&amp;INT(MOD(ROUND('Данные принтеров'!D14,0),86400)/3600)&amp;" ч "&amp;INT(MOD(ROUND('Данные принтеров'!D14,0),3600)/60)&amp;" мин "&amp;MOD(ROUND('Данные принтеров'!D14,0),60)&amp;" с"</f>
        <v>4 д 17 ч 17 мин 21 с</v>
      </c>
    </row>
    <row r="10" spans="1:25" ht="25" customHeight="1" x14ac:dyDescent="0.35">
      <c r="A10" s="1" t="s">
        <v>55</v>
      </c>
      <c r="B10" s="1" t="str">
        <f>INT(ROUND('Данные принтеров'!C14/'Данные принтеров'!F14,0)/3600)&amp;" ч "&amp;INT(MOD(ROUND('Данные принтеров'!C14/'Данные принтеров'!F14,0),3600)/60)&amp;" мин "&amp;MOD(ROUND('Данные принтеров'!C14/'Данные принтеров'!F14,0),60)&amp;" с"</f>
        <v>3 ч 56 мин 8 с</v>
      </c>
    </row>
    <row r="11" spans="1:25" ht="25" customHeight="1" x14ac:dyDescent="0.35">
      <c r="A11" s="1" t="s">
        <v>54</v>
      </c>
      <c r="B11" s="2">
        <f>ROUND('Данные принтеров'!E14/1000,1)</f>
        <v>51760.1</v>
      </c>
    </row>
    <row r="12" spans="1:25" ht="25" customHeight="1" x14ac:dyDescent="0.35">
      <c r="A12" s="1" t="s">
        <v>53</v>
      </c>
      <c r="B12" s="3">
        <f>'Данные принтеров'!F14</f>
        <v>4667</v>
      </c>
    </row>
    <row r="13" spans="1:25" ht="25" customHeight="1" x14ac:dyDescent="0.35"/>
    <row r="14" spans="1:25" ht="25" customHeight="1" x14ac:dyDescent="0.35"/>
    <row r="15" spans="1:25" ht="25" customHeight="1" x14ac:dyDescent="0.35">
      <c r="A15" s="5" t="s">
        <v>52</v>
      </c>
      <c r="B15" s="5" t="s">
        <v>62</v>
      </c>
      <c r="C15" s="5" t="s">
        <v>63</v>
      </c>
    </row>
    <row r="16" spans="1:25" ht="25" customHeight="1" x14ac:dyDescent="0.35">
      <c r="A16" s="1" t="s">
        <v>7</v>
      </c>
      <c r="B16" s="3">
        <f>'Данные принтеров'!H14</f>
        <v>3063</v>
      </c>
      <c r="C16" s="4">
        <f t="shared" ref="C16:C21" si="1">B16/$B$22</f>
        <v>0.66012931034482758</v>
      </c>
    </row>
    <row r="17" spans="1:8" ht="25" customHeight="1" x14ac:dyDescent="0.35">
      <c r="A17" s="1" t="s">
        <v>8</v>
      </c>
      <c r="B17" s="3">
        <f>'Данные принтеров'!I14</f>
        <v>1237</v>
      </c>
      <c r="C17" s="4">
        <f t="shared" si="1"/>
        <v>0.2665948275862069</v>
      </c>
    </row>
    <row r="18" spans="1:8" ht="25" customHeight="1" x14ac:dyDescent="0.35">
      <c r="A18" s="1" t="s">
        <v>9</v>
      </c>
      <c r="B18" s="3">
        <f>'Данные принтеров'!J14</f>
        <v>244</v>
      </c>
      <c r="C18" s="4">
        <f t="shared" si="1"/>
        <v>5.2586206896551725E-2</v>
      </c>
    </row>
    <row r="19" spans="1:8" ht="25" customHeight="1" x14ac:dyDescent="0.35">
      <c r="A19" s="1" t="s">
        <v>10</v>
      </c>
      <c r="B19" s="3">
        <f>'Данные принтеров'!K14</f>
        <v>72</v>
      </c>
      <c r="C19" s="4">
        <f t="shared" si="1"/>
        <v>1.5517241379310345E-2</v>
      </c>
    </row>
    <row r="20" spans="1:8" ht="25" customHeight="1" x14ac:dyDescent="0.35">
      <c r="A20" s="1" t="s">
        <v>11</v>
      </c>
      <c r="B20" s="3">
        <f>'Данные принтеров'!L14</f>
        <v>12</v>
      </c>
      <c r="C20" s="4">
        <f t="shared" si="1"/>
        <v>2.5862068965517241E-3</v>
      </c>
    </row>
    <row r="21" spans="1:8" ht="25" customHeight="1" x14ac:dyDescent="0.35">
      <c r="A21" s="1" t="s">
        <v>12</v>
      </c>
      <c r="B21" s="3">
        <f>'Данные принтеров'!M14</f>
        <v>12</v>
      </c>
      <c r="C21" s="4">
        <f t="shared" si="1"/>
        <v>2.5862068965517241E-3</v>
      </c>
    </row>
    <row r="22" spans="1:8" ht="25" customHeight="1" x14ac:dyDescent="0.35">
      <c r="A22" s="7" t="s">
        <v>6</v>
      </c>
      <c r="B22" s="8">
        <f>SUM(B16:B21)</f>
        <v>4640</v>
      </c>
      <c r="C22" s="9">
        <f>SUM(C16:C21)</f>
        <v>1</v>
      </c>
    </row>
    <row r="23" spans="1:8" ht="25" customHeight="1" x14ac:dyDescent="0.35">
      <c r="B23" s="3"/>
    </row>
    <row r="24" spans="1:8" ht="25" customHeight="1" x14ac:dyDescent="0.35">
      <c r="B24" s="3"/>
    </row>
    <row r="25" spans="1:8" ht="25" customHeight="1" x14ac:dyDescent="0.35">
      <c r="A25" s="1" t="s">
        <v>60</v>
      </c>
      <c r="B25" s="3">
        <f>B12-B22</f>
        <v>27</v>
      </c>
    </row>
    <row r="26" spans="1:8" ht="24" customHeight="1" x14ac:dyDescent="0.35">
      <c r="A26" s="13" t="s">
        <v>64</v>
      </c>
      <c r="B26" s="12"/>
      <c r="C26" s="12"/>
      <c r="D26" s="12"/>
      <c r="E26" s="12"/>
      <c r="F26" s="12"/>
      <c r="G26" s="12"/>
      <c r="H26" s="12"/>
    </row>
    <row r="27" spans="1:8" ht="24" customHeight="1" x14ac:dyDescent="0.35">
      <c r="A27" s="13" t="s">
        <v>65</v>
      </c>
      <c r="B27" s="12"/>
      <c r="C27" s="12"/>
      <c r="D27" s="12"/>
      <c r="E27" s="12"/>
      <c r="F27" s="12"/>
      <c r="G27" s="12"/>
      <c r="H27" s="12"/>
    </row>
    <row r="28" spans="1:8" ht="24" customHeight="1" x14ac:dyDescent="0.35">
      <c r="A28" s="13" t="s">
        <v>66</v>
      </c>
      <c r="B28" s="12"/>
      <c r="C28" s="12"/>
      <c r="D28" s="12"/>
      <c r="E28" s="12"/>
      <c r="F28" s="12"/>
      <c r="G28" s="12"/>
      <c r="H28" s="12"/>
    </row>
  </sheetData>
  <mergeCells count="5">
    <mergeCell ref="A2:H2"/>
    <mergeCell ref="A3:H3"/>
    <mergeCell ref="A26:H26"/>
    <mergeCell ref="A27:H27"/>
    <mergeCell ref="A28:H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E3E3-7168-4606-B6A4-F0919370646D}">
  <dimension ref="A1:N20"/>
  <sheetViews>
    <sheetView showGridLines="0" workbookViewId="0">
      <pane ySplit="1" topLeftCell="A2" activePane="bottomLeft" state="frozenSplit"/>
      <selection pane="bottomLeft"/>
    </sheetView>
  </sheetViews>
  <sheetFormatPr defaultRowHeight="14" x14ac:dyDescent="0.35"/>
  <cols>
    <col min="1" max="1" width="15.6328125" style="1" customWidth="1"/>
    <col min="2" max="2" width="21.6328125" style="1" customWidth="1"/>
    <col min="3" max="5" width="24.6328125" style="1" customWidth="1"/>
    <col min="6" max="13" width="18.6328125" style="1" customWidth="1"/>
    <col min="14" max="14" width="36.6328125" style="1" customWidth="1"/>
    <col min="15" max="16384" width="8.7265625" style="1"/>
  </cols>
  <sheetData>
    <row r="1" spans="1:14" ht="44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5">
      <c r="A2" s="1" t="s">
        <v>14</v>
      </c>
      <c r="B2" s="1" t="s">
        <v>15</v>
      </c>
      <c r="C2" s="2">
        <v>3283432.311992785</v>
      </c>
      <c r="D2" s="2">
        <v>407840.884219317</v>
      </c>
      <c r="E2" s="2">
        <v>2808645.4923700006</v>
      </c>
      <c r="F2" s="3">
        <v>285</v>
      </c>
      <c r="G2" s="3">
        <v>290</v>
      </c>
      <c r="H2" s="3">
        <v>144</v>
      </c>
      <c r="I2" s="3">
        <v>124</v>
      </c>
      <c r="J2" s="3">
        <v>14</v>
      </c>
      <c r="K2" s="3">
        <v>7</v>
      </c>
      <c r="L2" s="3">
        <v>0</v>
      </c>
      <c r="M2" s="3">
        <v>1</v>
      </c>
      <c r="N2" s="1" t="s">
        <v>16</v>
      </c>
    </row>
    <row r="3" spans="1:14" x14ac:dyDescent="0.35">
      <c r="A3" s="1" t="s">
        <v>17</v>
      </c>
      <c r="B3" s="1" t="s">
        <v>18</v>
      </c>
      <c r="C3" s="2">
        <v>5110124.6819955837</v>
      </c>
      <c r="D3" s="2">
        <v>240826.93712984998</v>
      </c>
      <c r="E3" s="2">
        <v>3819551.6018210305</v>
      </c>
      <c r="F3" s="3">
        <v>289</v>
      </c>
      <c r="G3" s="3">
        <v>292</v>
      </c>
      <c r="H3" s="3">
        <v>170</v>
      </c>
      <c r="I3" s="3">
        <v>104</v>
      </c>
      <c r="J3" s="3">
        <v>14</v>
      </c>
      <c r="K3" s="3">
        <v>3</v>
      </c>
      <c r="L3" s="3">
        <v>0</v>
      </c>
      <c r="M3" s="3">
        <v>1</v>
      </c>
      <c r="N3" s="1" t="s">
        <v>19</v>
      </c>
    </row>
    <row r="4" spans="1:14" x14ac:dyDescent="0.35">
      <c r="A4" s="1" t="s">
        <v>20</v>
      </c>
      <c r="B4" s="1" t="s">
        <v>21</v>
      </c>
      <c r="C4" s="2">
        <v>1342122.3610655204</v>
      </c>
      <c r="D4" s="2">
        <v>68287.820344211068</v>
      </c>
      <c r="E4" s="2">
        <v>1323972.5697899801</v>
      </c>
      <c r="F4" s="3">
        <v>89</v>
      </c>
      <c r="G4" s="3">
        <v>88</v>
      </c>
      <c r="H4" s="3">
        <v>56</v>
      </c>
      <c r="I4" s="3">
        <v>17</v>
      </c>
      <c r="J4" s="3">
        <v>11</v>
      </c>
      <c r="K4" s="3">
        <v>2</v>
      </c>
      <c r="L4" s="3">
        <v>0</v>
      </c>
      <c r="M4" s="3">
        <v>2</v>
      </c>
      <c r="N4" s="1" t="s">
        <v>22</v>
      </c>
    </row>
    <row r="5" spans="1:14" x14ac:dyDescent="0.35">
      <c r="A5" s="1" t="s">
        <v>23</v>
      </c>
      <c r="B5" s="1" t="s">
        <v>24</v>
      </c>
      <c r="C5" s="2">
        <v>2599878.8314560885</v>
      </c>
      <c r="D5" s="2">
        <v>92067.798591806</v>
      </c>
      <c r="E5" s="2">
        <v>2608314.967953241</v>
      </c>
      <c r="F5" s="3">
        <v>222</v>
      </c>
      <c r="G5" s="3">
        <v>256</v>
      </c>
      <c r="H5" s="3">
        <v>111</v>
      </c>
      <c r="I5" s="3">
        <v>69</v>
      </c>
      <c r="J5" s="3">
        <v>66</v>
      </c>
      <c r="K5" s="3">
        <v>10</v>
      </c>
      <c r="L5" s="3">
        <v>0</v>
      </c>
      <c r="M5" s="3">
        <v>0</v>
      </c>
      <c r="N5" s="1" t="s">
        <v>25</v>
      </c>
    </row>
    <row r="6" spans="1:14" x14ac:dyDescent="0.35">
      <c r="A6" s="1" t="s">
        <v>26</v>
      </c>
      <c r="B6" s="1" t="s">
        <v>27</v>
      </c>
      <c r="C6" s="2">
        <v>1285879.780078752</v>
      </c>
      <c r="D6" s="2">
        <v>62521.023556879001</v>
      </c>
      <c r="E6" s="2">
        <v>1678266.1905297909</v>
      </c>
      <c r="F6" s="3">
        <v>129</v>
      </c>
      <c r="G6" s="3">
        <v>133</v>
      </c>
      <c r="H6" s="3">
        <v>81</v>
      </c>
      <c r="I6" s="3">
        <v>41</v>
      </c>
      <c r="J6" s="3">
        <v>9</v>
      </c>
      <c r="K6" s="3">
        <v>2</v>
      </c>
      <c r="L6" s="3">
        <v>0</v>
      </c>
      <c r="M6" s="3">
        <v>0</v>
      </c>
      <c r="N6" s="1" t="s">
        <v>28</v>
      </c>
    </row>
    <row r="7" spans="1:14" x14ac:dyDescent="0.35">
      <c r="A7" s="1" t="s">
        <v>29</v>
      </c>
      <c r="B7" s="1" t="s">
        <v>30</v>
      </c>
      <c r="C7" s="2">
        <v>12319850.915577138</v>
      </c>
      <c r="D7" s="2">
        <v>201447.63243492402</v>
      </c>
      <c r="E7" s="2">
        <v>9054976.1280580945</v>
      </c>
      <c r="F7" s="3">
        <v>1039</v>
      </c>
      <c r="G7" s="3">
        <v>1046</v>
      </c>
      <c r="H7" s="3">
        <v>736</v>
      </c>
      <c r="I7" s="3">
        <v>257</v>
      </c>
      <c r="J7" s="3">
        <v>40</v>
      </c>
      <c r="K7" s="3">
        <v>6</v>
      </c>
      <c r="L7" s="3">
        <v>1</v>
      </c>
      <c r="M7" s="3">
        <v>6</v>
      </c>
      <c r="N7" s="1" t="s">
        <v>31</v>
      </c>
    </row>
    <row r="8" spans="1:14" x14ac:dyDescent="0.35">
      <c r="A8" s="1" t="s">
        <v>32</v>
      </c>
      <c r="B8" s="1" t="s">
        <v>33</v>
      </c>
      <c r="C8" s="2">
        <v>14764661.29171915</v>
      </c>
      <c r="D8" s="2">
        <v>195748.64786772398</v>
      </c>
      <c r="E8" s="2">
        <v>10839956.247528652</v>
      </c>
      <c r="F8" s="3">
        <v>1459</v>
      </c>
      <c r="G8" s="3">
        <v>1359</v>
      </c>
      <c r="H8" s="3">
        <v>921</v>
      </c>
      <c r="I8" s="3">
        <v>351</v>
      </c>
      <c r="J8" s="3">
        <v>51</v>
      </c>
      <c r="K8" s="3">
        <v>31</v>
      </c>
      <c r="L8" s="3">
        <v>3</v>
      </c>
      <c r="M8" s="3">
        <v>2</v>
      </c>
      <c r="N8" s="1" t="s">
        <v>34</v>
      </c>
    </row>
    <row r="9" spans="1:14" x14ac:dyDescent="0.35">
      <c r="A9" s="1" t="s">
        <v>35</v>
      </c>
      <c r="B9" s="1" t="s">
        <v>36</v>
      </c>
      <c r="C9" s="2">
        <v>34640.541010587047</v>
      </c>
      <c r="D9" s="2">
        <v>12480.125755500048</v>
      </c>
      <c r="E9" s="2">
        <v>48226.914519999955</v>
      </c>
      <c r="F9" s="3">
        <v>7</v>
      </c>
      <c r="G9" s="3">
        <v>7</v>
      </c>
      <c r="H9" s="3">
        <v>6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1" t="s">
        <v>37</v>
      </c>
    </row>
    <row r="10" spans="1:14" x14ac:dyDescent="0.35">
      <c r="A10" s="1" t="s">
        <v>38</v>
      </c>
      <c r="B10" s="1" t="s">
        <v>39</v>
      </c>
      <c r="C10" s="2">
        <v>25351414.54701101</v>
      </c>
      <c r="D10" s="2">
        <v>114006.29811895778</v>
      </c>
      <c r="E10" s="2">
        <v>19547414.347317189</v>
      </c>
      <c r="F10" s="3">
        <v>1119</v>
      </c>
      <c r="G10" s="3">
        <v>1139</v>
      </c>
      <c r="H10" s="3">
        <v>825</v>
      </c>
      <c r="I10" s="3">
        <v>258</v>
      </c>
      <c r="J10" s="3">
        <v>37</v>
      </c>
      <c r="K10" s="3">
        <v>11</v>
      </c>
      <c r="L10" s="3">
        <v>8</v>
      </c>
      <c r="M10" s="3">
        <v>0</v>
      </c>
      <c r="N10" s="1" t="s">
        <v>40</v>
      </c>
    </row>
    <row r="11" spans="1:14" x14ac:dyDescent="0.35">
      <c r="A11" s="1" t="s">
        <v>41</v>
      </c>
      <c r="B11" s="1" t="s">
        <v>42</v>
      </c>
      <c r="C11" s="2">
        <v>31495.800933186991</v>
      </c>
      <c r="D11" s="2">
        <v>7806.7207756810003</v>
      </c>
      <c r="E11" s="2">
        <v>30742.254789999995</v>
      </c>
      <c r="F11" s="3">
        <v>29</v>
      </c>
      <c r="G11" s="3">
        <v>30</v>
      </c>
      <c r="H11" s="3">
        <v>13</v>
      </c>
      <c r="I11" s="3">
        <v>15</v>
      </c>
      <c r="J11" s="3">
        <v>2</v>
      </c>
      <c r="K11" s="3">
        <v>0</v>
      </c>
      <c r="L11" s="3">
        <v>0</v>
      </c>
      <c r="M11" s="3">
        <v>0</v>
      </c>
      <c r="N11" s="1" t="s">
        <v>43</v>
      </c>
    </row>
    <row r="12" spans="1:14" x14ac:dyDescent="0.35"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</row>
    <row r="13" spans="1:14" x14ac:dyDescent="0.35"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</row>
    <row r="14" spans="1:14" x14ac:dyDescent="0.35">
      <c r="A14" s="7" t="s">
        <v>44</v>
      </c>
      <c r="B14" s="7"/>
      <c r="C14" s="10">
        <f>SUM(C2:C11)</f>
        <v>66123501.062839806</v>
      </c>
      <c r="D14" s="10">
        <f>MAX(D2:D11)</f>
        <v>407840.884219317</v>
      </c>
      <c r="E14" s="10">
        <f t="shared" ref="E14:M14" si="0">SUM(E2:E11)</f>
        <v>51760066.714677982</v>
      </c>
      <c r="F14" s="8">
        <f t="shared" si="0"/>
        <v>4667</v>
      </c>
      <c r="G14" s="8">
        <f t="shared" si="0"/>
        <v>4640</v>
      </c>
      <c r="H14" s="8">
        <f t="shared" si="0"/>
        <v>3063</v>
      </c>
      <c r="I14" s="8">
        <f t="shared" si="0"/>
        <v>1237</v>
      </c>
      <c r="J14" s="8">
        <f t="shared" si="0"/>
        <v>244</v>
      </c>
      <c r="K14" s="8">
        <f t="shared" si="0"/>
        <v>72</v>
      </c>
      <c r="L14" s="8">
        <f t="shared" si="0"/>
        <v>12</v>
      </c>
      <c r="M14" s="8">
        <f t="shared" si="0"/>
        <v>12</v>
      </c>
      <c r="N14" s="7"/>
    </row>
    <row r="16" spans="1:14" x14ac:dyDescent="0.35">
      <c r="A16" s="12" t="s">
        <v>45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35">
      <c r="A17" s="12" t="s">
        <v>46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35">
      <c r="A18" s="12" t="s">
        <v>47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35">
      <c r="A19" s="12" t="s">
        <v>48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5">
      <c r="A20" s="12" t="s">
        <v>49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5">
    <mergeCell ref="A16:N16"/>
    <mergeCell ref="A17:N17"/>
    <mergeCell ref="A18:N18"/>
    <mergeCell ref="A19:N19"/>
    <mergeCell ref="A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Сводная статистика</vt:lpstr>
      <vt:lpstr>Данные принтеров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Yawllen</dc:creator>
  <cp:lastModifiedBy>Yawllen</cp:lastModifiedBy>
  <dcterms:created xsi:type="dcterms:W3CDTF">2026-10-07T20:24:46Z</dcterms:created>
  <dcterms:modified xsi:type="dcterms:W3CDTF">2026-10-07T20:27:42Z</dcterms:modified>
</cp:coreProperties>
</file>