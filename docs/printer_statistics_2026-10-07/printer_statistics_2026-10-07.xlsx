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awllen\Documents\printer-statistics\2026-10-07_17-05-54\outputs\01a116ac-205f-7ba3-bfab-fff996d35ea8\"/>
    </mc:Choice>
  </mc:AlternateContent>
  <xr:revisionPtr revIDLastSave="0" documentId="13_ncr:1_{1D518CC9-1ECD-44CB-AA88-A23E207DC9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Сводная статистика" sheetId="1" r:id="rId1"/>
    <sheet name="Данные принтеров" sheetId="2" r:id="rId2"/>
  </sheets>
  <definedNames>
    <definedName name="_xlchart.v1.0" hidden="1">'Сводная статистика'!$A$16:$A$21</definedName>
    <definedName name="_xlchart.v1.1" hidden="1">'Сводная статистика'!$B$16:$B$21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2" l="1"/>
  <c r="B21" i="1" s="1"/>
  <c r="L14" i="2"/>
  <c r="B20" i="1" s="1"/>
  <c r="K14" i="2"/>
  <c r="B19" i="1" s="1"/>
  <c r="J14" i="2"/>
  <c r="B18" i="1" s="1"/>
  <c r="I14" i="2"/>
  <c r="B17" i="1" s="1"/>
  <c r="H14" i="2"/>
  <c r="B16" i="1" s="1"/>
  <c r="G14" i="2"/>
  <c r="F14" i="2"/>
  <c r="B12" i="1" s="1"/>
  <c r="E14" i="2"/>
  <c r="B11" i="1" s="1"/>
  <c r="D14" i="2"/>
  <c r="B9" i="1" s="1"/>
  <c r="C14" i="2"/>
  <c r="B10" i="1" s="1"/>
  <c r="B7" i="1"/>
  <c r="B22" i="1" l="1"/>
  <c r="C16" i="1"/>
  <c r="C17" i="1"/>
  <c r="C18" i="1"/>
  <c r="C19" i="1"/>
  <c r="B25" i="1"/>
  <c r="C20" i="1"/>
  <c r="C21" i="1"/>
  <c r="B8" i="1"/>
  <c r="C22" i="1" l="1"/>
</calcChain>
</file>

<file path=xl/sharedStrings.xml><?xml version="1.0" encoding="utf-8"?>
<sst xmlns="http://schemas.openxmlformats.org/spreadsheetml/2006/main" count="74" uniqueCount="67">
  <si>
    <t>Общая статистика печати</t>
  </si>
  <si>
    <t>10 доступных принтеров. Срез на 7 октября 2026 года.</t>
  </si>
  <si>
    <t>Общая статистика</t>
  </si>
  <si>
    <t>Значение</t>
  </si>
  <si>
    <t>Количество принтеров</t>
  </si>
  <si>
    <t>Общее время печати</t>
  </si>
  <si>
    <t>Наибольшее время одной печати</t>
  </si>
  <si>
    <t>Среднее время печати</t>
  </si>
  <si>
    <t>Использовано материала, м</t>
  </si>
  <si>
    <t>Всего заданий на печать</t>
  </si>
  <si>
    <t>Статус задания</t>
  </si>
  <si>
    <t>Количество</t>
  </si>
  <si>
    <t>Доля</t>
  </si>
  <si>
    <t>Завершено</t>
  </si>
  <si>
    <t>Отменено</t>
  </si>
  <si>
    <t>Аварийная остановка</t>
  </si>
  <si>
    <t>Ошибка</t>
  </si>
  <si>
    <t>Ошибка системы</t>
  </si>
  <si>
    <t>Неудачно</t>
  </si>
  <si>
    <t>Всего по статусам</t>
  </si>
  <si>
    <t>Разница между счётчиками</t>
  </si>
  <si>
    <t>Общий счётчик STE APP и сумма категорий расходятся.</t>
  </si>
  <si>
    <t>Среднее время рассчитано по общему счётчику заданий.</t>
  </si>
  <si>
    <t>Диаграмма учитывает все шесть статусов, без строки «Всего».</t>
  </si>
  <si>
    <t>Принтер</t>
  </si>
  <si>
    <t>IP</t>
  </si>
  <si>
    <t>Общее время, с</t>
  </si>
  <si>
    <t>Максимальное время, с</t>
  </si>
  <si>
    <t>Материал, мм</t>
  </si>
  <si>
    <t>Общий счётчик</t>
  </si>
  <si>
    <t>Источник</t>
  </si>
  <si>
    <t>ST-WHE</t>
  </si>
  <si>
    <t>192.168.155.114</t>
  </si>
  <si>
    <t>http://192.168.155.114:7125</t>
  </si>
  <si>
    <t>ST-AB3</t>
  </si>
  <si>
    <t>192.168.155.27</t>
  </si>
  <si>
    <t>http://192.168.155.27:7125</t>
  </si>
  <si>
    <t>ST-VFV</t>
  </si>
  <si>
    <t>192.168.155.87</t>
  </si>
  <si>
    <t>http://192.168.155.87:7125</t>
  </si>
  <si>
    <t>ST-AJN</t>
  </si>
  <si>
    <t>192.168.155.29</t>
  </si>
  <si>
    <t>http://192.168.155.29:7125</t>
  </si>
  <si>
    <t>ST-WV1</t>
  </si>
  <si>
    <t>192.168.155.77</t>
  </si>
  <si>
    <t>http://192.168.155.77:7125</t>
  </si>
  <si>
    <t>ST-FRH</t>
  </si>
  <si>
    <t>192.168.155.89</t>
  </si>
  <si>
    <t>http://192.168.155.89:7125</t>
  </si>
  <si>
    <t>ST-SHB</t>
  </si>
  <si>
    <t>192.168.155.48</t>
  </si>
  <si>
    <t>http://192.168.155.48:7125</t>
  </si>
  <si>
    <t>ST-BRJ</t>
  </si>
  <si>
    <t>192.168.155.80</t>
  </si>
  <si>
    <t>http://192.168.155.80:7125</t>
  </si>
  <si>
    <t>ST-86R</t>
  </si>
  <si>
    <t>192.168.155.171</t>
  </si>
  <si>
    <t>http://192.168.155.171:7125</t>
  </si>
  <si>
    <t>ST-Y10</t>
  </si>
  <si>
    <t>192.168.155.136</t>
  </si>
  <si>
    <t>http://192.168.155.136:7125</t>
  </si>
  <si>
    <t>Итого / максимум</t>
  </si>
  <si>
    <t>Период: вся сохранённая история, без фильтра по датам.</t>
  </si>
  <si>
    <t>Источник: прямые ответы STE APP от 07.10.2026, около 17:10 по Москве.</t>
  </si>
  <si>
    <t>Общий счётчик: /server/printjobs/totals. Статусы: /server/printjobs/stats.</t>
  </si>
  <si>
    <t>Выгружены 10 доступных принтеров из 19 адресов.</t>
  </si>
  <si>
    <t>Недоступные адреса и исходные ответы сохранены в отдельном отчёте выгрузки.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</si>
</sst>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7">
    <font>
      <sz val="11"/>
      <name val="Carlito"/>
    </font>
    <font>
      <sz val="11"/>
      <color rgb="FF243746"/>
      <name val="Arial"/>
    </font>
    <font>
      <b/>
      <sz val="11"/>
      <color rgb="FFFFFFFF"/>
      <name val="Arial"/>
    </font>
    <font>
      <b/>
      <sz val="11"/>
      <color rgb="FF243746"/>
      <name val="Arial"/>
    </font>
    <font>
      <sz val="10"/>
      <color rgb="FF657684"/>
      <name val="Arial"/>
    </font>
    <font>
      <b/>
      <sz val="16"/>
      <color rgb="FF24445C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45C"/>
      </patternFill>
    </fill>
    <fill>
      <patternFill patternType="solid">
        <fgColor rgb="FFF2F5F7"/>
      </patternFill>
    </fill>
    <fill>
      <patternFill patternType="solid">
        <fgColor rgb="FFFFF4D6"/>
      </patternFill>
    </fill>
  </fills>
  <borders count="3">
    <border>
      <left/>
      <right/>
      <top/>
      <bottom/>
      <diagonal/>
    </border>
    <border>
      <left/>
      <right/>
      <top style="thin">
        <color rgb="FF95A6B3"/>
      </top>
      <bottom/>
      <diagonal/>
    </border>
    <border>
      <left/>
      <right/>
      <top/>
      <bottom style="thin">
        <color rgb="FFD7E0E6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vertical="center" wrapText="1"/>
    </xf>
    <xf numFmtId="164" fontId="1" fillId="0" borderId="0" xfId="1" applyNumberFormat="1" applyFont="1" applyAlignment="1">
      <alignment horizontal="right" vertical="center"/>
    </xf>
    <xf numFmtId="3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right" vertical="center"/>
    </xf>
    <xf numFmtId="0" fontId="1" fillId="3" borderId="0" xfId="1" applyFont="1" applyFill="1" applyAlignment="1">
      <alignment vertical="center"/>
    </xf>
    <xf numFmtId="164" fontId="1" fillId="3" borderId="0" xfId="1" applyNumberFormat="1" applyFont="1" applyFill="1" applyAlignment="1">
      <alignment horizontal="right" vertical="center"/>
    </xf>
    <xf numFmtId="3" fontId="1" fillId="3" borderId="0" xfId="1" applyNumberFormat="1" applyFont="1" applyFill="1" applyAlignment="1">
      <alignment horizontal="right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right" vertical="center"/>
    </xf>
    <xf numFmtId="3" fontId="3" fillId="0" borderId="1" xfId="1" applyNumberFormat="1" applyFont="1" applyBorder="1" applyAlignment="1">
      <alignment horizontal="right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2" xfId="1" applyFont="1" applyBorder="1" applyAlignment="1">
      <alignment vertical="center"/>
    </xf>
    <xf numFmtId="165" fontId="1" fillId="0" borderId="0" xfId="1" applyNumberFormat="1" applyFont="1" applyAlignment="1">
      <alignment horizontal="right" vertical="center"/>
    </xf>
    <xf numFmtId="0" fontId="1" fillId="3" borderId="0" xfId="1" applyFont="1" applyFill="1" applyAlignment="1">
      <alignment horizontal="right" vertical="center"/>
    </xf>
    <xf numFmtId="3" fontId="3" fillId="3" borderId="0" xfId="1" applyNumberFormat="1" applyFont="1" applyFill="1" applyAlignment="1">
      <alignment horizontal="right" vertical="center"/>
    </xf>
    <xf numFmtId="10" fontId="1" fillId="0" borderId="0" xfId="1" applyNumberFormat="1" applyFont="1" applyAlignment="1">
      <alignment horizontal="right" vertical="center"/>
    </xf>
    <xf numFmtId="10" fontId="1" fillId="3" borderId="0" xfId="1" applyNumberFormat="1" applyFont="1" applyFill="1" applyAlignment="1">
      <alignment horizontal="right" vertical="center"/>
    </xf>
    <xf numFmtId="10" fontId="3" fillId="0" borderId="1" xfId="1" applyNumberFormat="1" applyFont="1" applyBorder="1" applyAlignment="1">
      <alignment horizontal="right" vertical="center"/>
    </xf>
    <xf numFmtId="0" fontId="1" fillId="4" borderId="0" xfId="1" applyFont="1" applyFill="1" applyAlignment="1">
      <alignment vertical="center"/>
    </xf>
    <xf numFmtId="3" fontId="1" fillId="4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ru-RU"/>
  <c:roundedCorners val="0"/>
  <c:style val="2"/>
  <c:chart>
    <c:title>
      <c:tx>
        <c:rich>
          <a:bodyPr/>
          <a:lstStyle/>
          <a:p>
            <a:pPr algn="l"/>
            <a:r>
              <a:rPr sz="1650">
                <a:latin typeface="Arial"/>
              </a:rPr>
              <a:t>Количество</a:t>
            </a:r>
          </a:p>
        </c:rich>
      </c:tx>
      <c:layout>
        <c:manualLayout>
          <c:xMode val="factor"/>
          <c:yMode val="factor"/>
          <c:wMode val="factor"/>
          <c:hMode val="factor"/>
          <c:x val="0.04878048780487805"/>
          <c:y val="0.04583333333333333"/>
          <c:w val="0.8130081300813008"/>
          <c:h val="0.125"/>
        </c:manualLayout>
      </c:layout>
      <c:overlay val="1"/>
    </c:title>
    <c:autoTitleDeleted val="0"/>
    <c:plotArea>
      <c:layout>
        <c:manualLayout>
          <c:layoutTarget val="inner"/>
          <c:xMode val="factor"/>
          <c:yMode val="factor"/>
          <c:wMode val="factor"/>
          <c:hMode val="factor"/>
          <c:x val="0.34959349593495936"/>
          <c:y val="0.37916666666666665"/>
          <c:w val="0.2981029810298103"/>
          <c:h val="0.4583333333333333"/>
        </c:manualLayout>
      </c:layout>
      <c:spPr>
        <a:noFill/>
      </c:spPr>
      <c:doughnutChart>
        <c:varyColors val="1"/>
        <c:ser>
          <c:idx val="0"/>
          <c:order val="0"/>
          <c:tx>
            <c:v>Количество</c:v>
          </c:tx>
          <c:dPt>
            <c:idx val="0"/>
            <c:spPr>
              <a:solidFill>
                <a:srgbClr val="FEC82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6C76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4464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6363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E2F2F"/>
              </a:solidFill>
              <a:ln w="0">
                <a:noFill/>
              </a:ln>
            </c:spPr>
          </c:dPt>
          <c:dPt>
            <c:idx val="5"/>
            <c:spPr>
              <a:solidFill>
                <a:srgbClr val="A3A3A3"/>
              </a:solidFill>
              <a:ln w="0">
                <a:noFill/>
              </a:ln>
            </c:spPr>
          </c:dPt>
          <c:dLbls>
            <c:dLbl>
              <c:idx val="0"/>
              <c:layout>
                <c:manualLayout>
                  <c:xMode val="factor"/>
                  <c:yMode val="factor"/>
                  <c:wMode val="factor"/>
                  <c:hMode val="factor"/>
                  <c:x val="0.6666666666666666"/>
                  <c:y val="0.36875"/>
                  <c:w val="0.23983739837398374"/>
                  <c:h val="0.07083333333333333"/>
                </c:manualLayout>
              </c:layout>
              <c:tx>
                <c:strRef>
                  <c:f>'Сводная статистика'!$Z$2</c:f>
                  <c:strCache>
                    <c:ptCount val="1"/>
                    <c:pt idx="0">
                      <c:v>Отменено 1237</c:v>
                    </c:pt>
                  </c:strCache>
                </c:strRef>
              </c:tx>
              <c:txPr>
                <a:bodyPr/>
                <a:lstStyle/>
                <a:p>
                  <a:pPr algn="l">
                    <a:defRPr sz="850">
                      <a:solidFill>
                        <a:srgbClr val="555555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factor"/>
                  <c:yMode val="factor"/>
                  <c:wMode val="factor"/>
                  <c:hMode val="factor"/>
                  <c:x val="0.1077341632791328"/>
                  <c:y val="0.83125"/>
                  <c:w val="0.2581194952574526"/>
                  <c:h val="0.07083333333333333"/>
                </c:manualLayout>
              </c:layout>
              <c:tx>
                <c:strRef>
                  <c:f>'Сводная статистика'!$Z$3</c:f>
                  <c:strCache>
                    <c:ptCount val="1"/>
                    <c:pt idx="0">
                      <c:v>Завершено 3063</c:v>
                    </c:pt>
                  </c:strCache>
                </c:strRef>
              </c:tx>
              <c:txPr>
                <a:bodyPr/>
                <a:lstStyle/>
                <a:p>
                  <a:pPr algn="r">
                    <a:defRPr sz="850">
                      <a:solidFill>
                        <a:srgbClr val="555555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factor"/>
                  <c:yMode val="factor"/>
                  <c:wMode val="factor"/>
                  <c:hMode val="factor"/>
                  <c:x val="0.12737127371273713"/>
                  <c:y val="0.3729166666666667"/>
                  <c:w val="0.2222222222222222"/>
                  <c:h val="0.12916666666666668"/>
                </c:manualLayout>
              </c:layout>
              <c:tx>
                <c:strRef>
                  <c:f>'Сводная статистика'!$Z$4</c:f>
                  <c:strCache>
                    <c:ptCount val="1"/>
                    <c:pt idx="0">
                      <c:v>Аварийная
остановка 244</c:v>
                    </c:pt>
                  </c:strCache>
                </c:strRef>
              </c:tx>
              <c:txPr>
                <a:bodyPr/>
                <a:lstStyle/>
                <a:p>
                  <a:pPr algn="r">
                    <a:defRPr sz="850">
                      <a:solidFill>
                        <a:srgbClr val="555555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factor"/>
                  <c:yMode val="factor"/>
                  <c:wMode val="factor"/>
                  <c:hMode val="factor"/>
                  <c:x val="0.2601520155826558"/>
                  <c:y val="0.33125"/>
                  <c:w val="0.1734523204607046"/>
                  <c:h val="0.07083333333333333"/>
                </c:manualLayout>
              </c:layout>
              <c:tx>
                <c:strRef>
                  <c:f>'Сводная статистика'!$Z$5</c:f>
                  <c:strCache>
                    <c:ptCount val="1"/>
                    <c:pt idx="0">
                      <c:v>Ошибка 72</c:v>
                    </c:pt>
                  </c:strCache>
                </c:strRef>
              </c:tx>
              <c:txPr>
                <a:bodyPr/>
                <a:lstStyle/>
                <a:p>
                  <a:pPr algn="r">
                    <a:defRPr sz="850">
                      <a:solidFill>
                        <a:srgbClr val="555555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factor"/>
                  <c:yMode val="factor"/>
                  <c:wMode val="factor"/>
                  <c:hMode val="factor"/>
                  <c:x val="0.1537940379403794"/>
                  <c:y val="0.27291666666666664"/>
                  <c:w val="0.30691056910569103"/>
                  <c:h val="0.07083333333333333"/>
                </c:manualLayout>
              </c:layout>
              <c:tx>
                <c:strRef>
                  <c:f>'Сводная статистика'!$Z$6</c:f>
                  <c:strCache>
                    <c:ptCount val="1"/>
                    <c:pt idx="0">
                      <c:v>Ошибка системы 12</c:v>
                    </c:pt>
                  </c:strCache>
                </c:strRef>
              </c:tx>
              <c:txPr>
                <a:bodyPr/>
                <a:lstStyle/>
                <a:p>
                  <a:pPr algn="r">
                    <a:defRPr sz="850">
                      <a:solidFill>
                        <a:srgbClr val="555555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factor"/>
                  <c:yMode val="factor"/>
                  <c:wMode val="factor"/>
                  <c:hMode val="factor"/>
                  <c:x val="0.27985264227642276"/>
                  <c:y val="0.20625"/>
                  <c:w val="0.19982215447154472"/>
                  <c:h val="0.07083333333333333"/>
                </c:manualLayout>
              </c:layout>
              <c:tx>
                <c:strRef>
                  <c:f>'Сводная статистика'!$Z$7</c:f>
                  <c:strCache>
                    <c:ptCount val="1"/>
                    <c:pt idx="0">
                      <c:v>Неудачно 12</c:v>
                    </c:pt>
                  </c:strCache>
                </c:strRef>
              </c:tx>
              <c:txPr>
                <a:bodyPr/>
                <a:lstStyle/>
                <a:p>
                  <a:pPr algn="r">
                    <a:defRPr sz="850">
                      <a:solidFill>
                        <a:srgbClr val="555555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6350">
                  <a:solidFill>
                    <a:srgbClr val="9A9A9A"/>
                  </a:solidFill>
                </a:ln>
              </c:spPr>
            </c:leaderLines>
          </c:dLbls>
          <c:cat>
            <c:strRef>
              <c:f>'Сводная статистика'!$X$2:$X$7</c:f>
              <c:strCache>
                <c:ptCount val="6"/>
                <c:pt idx="0">
                  <c:v>Отменено</c:v>
                </c:pt>
                <c:pt idx="1">
                  <c:v>Завершено</c:v>
                </c:pt>
                <c:pt idx="2">
                  <c:v>Аварийная остановка</c:v>
                </c:pt>
                <c:pt idx="3">
                  <c:v>Ошибка</c:v>
                </c:pt>
                <c:pt idx="4">
                  <c:v>Ошибка системы</c:v>
                </c:pt>
                <c:pt idx="5">
                  <c:v>Неудачно</c:v>
                </c:pt>
              </c:strCache>
            </c:strRef>
          </c:cat>
          <c:val>
            <c:numRef>
              <c:f>'Сводная статистика'!$Y$2:$Y$7</c:f>
              <c:numCache>
                <c:formatCode>0</c:formatCode>
                <c:ptCount val="6"/>
                <c:pt idx="0">
                  <c:v>1237</c:v>
                </c:pt>
                <c:pt idx="1">
                  <c:v>3063</c:v>
                </c:pt>
                <c:pt idx="2">
                  <c:v>244</c:v>
                </c:pt>
                <c:pt idx="3">
                  <c:v>72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  <c:extLst>
            <c:ext uri="{C3380CC4-5D6E-409C-BE32-E72D297353CC}">
              <ns2:uniqueId val="{0000000C-6E67-4E10-9588-CD6799FD9225}"/>
            </c:ext>
          </c:extLst>
        </c:ser>
        <c:firstSliceAng val="0"/>
        <c:holeSize val="58"/>
      </c:doughnutChart>
    </c:plotArea>
    <c:plotVisOnly val="0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a="http://schemas.openxmlformats.org/drawingml/2006/main" xmlns:c="http://schemas.openxmlformats.org/drawingml/2006/chart" xmlns:ns2="http://schemas.microsoft.com/office/drawing/2014/main" xmlns:ns4="http://schemas.openxmlformats.org/officeDocument/2006/relationships"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9</xdr:col>
      <xdr:colOff>276225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ns2:creationId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ns4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s:worksheet xmlns:ns1="http://schemas.openxmlformats.org/markup-compatibility/2006" xmlns:ns2="http://schemas.microsoft.com/office/spreadsheetml/2014/revision" xmlns:ns3="http://schemas.openxmlformats.org/officeDocument/2006/relationships" xmlns:s="http://schemas.openxmlformats.org/spreadsheetml/2006/main" ns1:Ignorable="x14ac xr xr2 xr3" ns2:uid="{00000000-0001-0000-0000-000000000000}">
  <s:sheetPr>
    <s:tabColor rgb="FF24445C"/>
  </s:sheetPr>
  <s:dimension ref="A1:Z30"/>
  <s:sheetViews>
    <s:sheetView showGridLines="0" tabSelected="1" zoomScale="74" workbookViewId="0">
      <s:selection activeCell="K15" sqref="K15"/>
    </s:sheetView>
  </s:sheetViews>
  <s:sheetFormatPr defaultRowHeight="14"/>
  <s:cols>
    <s:col min="1" max="1" width="49" customWidth="1"/>
    <s:col min="2" max="2" width="36" customWidth="1"/>
    <s:col min="3" max="3" width="12" customWidth="1"/>
    <s:col min="4" max="4" width="3" customWidth="1"/>
    <s:col min="5" max="14" width="9" customWidth="1"/>
    <s:col min="24" max="26" hidden="1" width="12" customWidth="1"/>
  </s:cols>
  <s:sheetData>
    <s:row r="1" spans="1:14" ht="25" customHeight="1">
      <s:c r="A1" s="1"/>
      <s:c r="B1" s="1"/>
      <s:c r="C1" s="1"/>
      <s:c r="D1" s="1"/>
      <s:c r="E1" s="1"/>
      <s:c r="F1" s="1"/>
      <s:c r="G1" s="1"/>
      <s:c r="H1" s="1"/>
      <s:c r="I1" s="1"/>
      <s:c r="J1" s="1"/>
      <s:c r="K1" s="1"/>
      <s:c r="L1" s="1"/>
      <s:c r="M1" s="1"/>
      <s:c r="N1" s="1"/>
    </s:row>
    <s:row r="2" spans="1:14" ht="31" customHeight="1">
      <s:c r="A2" s="14" t="s">
        <s:v>0</s:v>
      </s:c>
      <s:c r="B2" s="1"/>
      <s:c r="C2" s="1"/>
      <s:c r="D2" s="1"/>
      <s:c r="E2" s="1"/>
      <s:c r="F2" s="1"/>
      <s:c r="G2" s="1"/>
      <s:c r="H2" s="1"/>
      <s:c r="I2" s="1"/>
      <s:c r="J2" s="1"/>
      <s:c r="K2" s="1"/>
      <s:c r="L2" s="1"/>
      <s:c r="M2" s="1"/>
      <s:c r="N2" s="1"/>
      <s:c r="X2" t="str">
        <s:f>'Сводная статистика'!A17</s:f>
        <s:v>Отменено</s:v>
      </s:c>
      <s:c r="Y2" t="n">
        <s:f>'Сводная статистика'!B17</s:f>
        <s:v>1237</s:v>
      </s:c>
      <s:c r="Z2" t="str">
        <s:f>'Сводная статистика'!A17&amp;" "&amp;TEXT('Сводная статистика'!B17,"0")</s:f>
        <s:v>Отменено 1237</s:v>
      </s:c>
    </s:row>
    <s:row r="3" spans="1:14" ht="25" customHeight="1">
      <s:c r="A3" s="13" t="s">
        <s:v>1</s:v>
      </s:c>
      <s:c r="B3" s="13"/>
      <s:c r="C3" s="13"/>
      <s:c r="D3" s="13"/>
      <s:c r="E3" s="13"/>
      <s:c r="F3" s="13"/>
      <s:c r="G3" s="13"/>
      <s:c r="H3" s="13"/>
      <s:c r="I3" s="13"/>
      <s:c r="J3" s="13"/>
      <s:c r="K3" s="13"/>
      <s:c r="L3" s="13"/>
      <s:c r="M3" s="13"/>
      <s:c r="N3" s="13"/>
      <s:c r="X3" t="str">
        <s:f>'Сводная статистика'!A16</s:f>
        <s:v>Завершено</s:v>
      </s:c>
      <s:c r="Y3" t="n">
        <s:f>'Сводная статистика'!B16</s:f>
        <s:v>3063</s:v>
      </s:c>
      <s:c r="Z3" t="str">
        <s:f>'Сводная статистика'!A16&amp;" "&amp;TEXT('Сводная статистика'!B16,"0")</s:f>
        <s:v>Завершено 3063</s:v>
      </s:c>
    </s:row>
    <s:row r="4" spans="1:14" ht="25" customHeight="1">
      <s:c r="A4" s="15"/>
      <s:c r="B4" s="15"/>
      <s:c r="C4" s="15"/>
      <s:c r="D4" s="15"/>
      <s:c r="E4" s="15"/>
      <s:c r="F4" s="15"/>
      <s:c r="G4" s="15"/>
      <s:c r="H4" s="15"/>
      <s:c r="I4" s="15"/>
      <s:c r="J4" s="15"/>
      <s:c r="K4" s="15"/>
      <s:c r="L4" s="15"/>
      <s:c r="M4" s="15"/>
      <s:c r="N4" s="15"/>
      <s:c r="X4" t="str">
        <s:f>'Сводная статистика'!A18</s:f>
        <s:v>Аварийная остановка</s:v>
      </s:c>
      <s:c r="Y4" t="n">
        <s:f>'Сводная статистика'!B18</s:f>
        <s:v>244</s:v>
      </s:c>
      <s:c r="Z4" t="str">
        <s:f>"Аварийная"&amp;CHAR(10)&amp;"остановка "&amp;TEXT('Сводная статистика'!B18,"0")</s:f>
        <s:v>Аварийная
остановка 244</s:v>
      </s:c>
    </s:row>
    <s:row r="5" spans="1:14" ht="25" customHeight="1">
      <s:c r="A5" s="1"/>
      <s:c r="B5" s="1"/>
      <s:c r="C5" s="1"/>
      <s:c r="D5" s="1"/>
      <s:c r="E5" s="1"/>
      <s:c r="F5" s="1"/>
      <s:c r="G5" s="1"/>
      <s:c r="H5" s="1"/>
      <s:c r="I5" s="1"/>
      <s:c r="J5" s="1"/>
      <s:c r="K5" s="1"/>
      <s:c r="L5" s="1"/>
      <s:c r="M5" s="1"/>
      <s:c r="N5" s="1"/>
      <s:c r="X5" t="str">
        <s:f>'Сводная статистика'!A19</s:f>
        <s:v>Ошибка</s:v>
      </s:c>
      <s:c r="Y5" t="n">
        <s:f>'Сводная статистика'!B19</s:f>
        <s:v>72</s:v>
      </s:c>
      <s:c r="Z5" t="str">
        <s:f>'Сводная статистика'!A19&amp;" "&amp;TEXT('Сводная статистика'!B19,"0")</s:f>
        <s:v>Ошибка 72</s:v>
      </s:c>
    </s:row>
    <s:row r="6" spans="1:14" ht="30" customHeight="1">
      <s:c r="A6" s="2" t="s">
        <s:v>2</s:v>
      </s:c>
      <s:c r="B6" s="2" t="s">
        <s:v>3</s:v>
      </s:c>
      <s:c r="C6" s="1"/>
      <s:c r="D6" s="1"/>
      <s:c r="E6" s="1"/>
      <s:c r="F6" s="1"/>
      <s:c r="G6" s="1"/>
      <s:c r="H6" s="1"/>
      <s:c r="I6" s="1"/>
      <s:c r="J6" s="1"/>
      <s:c r="K6" s="1"/>
      <s:c r="L6" s="1"/>
      <s:c r="M6" s="1"/>
      <s:c r="N6" s="1"/>
      <s:c r="X6" t="str">
        <s:f>'Сводная статистика'!A20</s:f>
        <s:v>Ошибка системы</s:v>
      </s:c>
      <s:c r="Y6" t="n">
        <s:f>'Сводная статистика'!B20</s:f>
        <s:v>12</s:v>
      </s:c>
      <s:c r="Z6" t="str">
        <s:f>'Сводная статистика'!A20&amp;" "&amp;TEXT('Сводная статистика'!B20,"0")</s:f>
        <s:v>Ошибка системы 12</s:v>
      </s:c>
    </s:row>
    <s:row r="7" spans="1:14" ht="25" customHeight="1">
      <s:c r="A7" s="1" t="s">
        <s:v>4</s:v>
      </s:c>
      <s:c r="B7" s="5">
        <s:f>COUNTA('Данные принтеров'!A2:A11)</s:f>
        <s:v>10</s:v>
      </s:c>
      <s:c r="C7" s="1"/>
      <s:c r="D7" s="1"/>
      <s:c r="E7" s="1"/>
      <s:c r="F7" s="1"/>
      <s:c r="G7" s="1"/>
      <s:c r="H7" s="1"/>
      <s:c r="I7" s="1"/>
      <s:c r="J7" s="1"/>
      <s:c r="K7" s="1"/>
      <s:c r="L7" s="1"/>
      <s:c r="M7" s="1"/>
      <s:c r="N7" s="1"/>
      <s:c r="X7" t="str">
        <s:f>'Сводная статистика'!A21</s:f>
        <s:v>Неудачно</s:v>
      </s:c>
      <s:c r="Y7" t="n">
        <s:f>'Сводная статистика'!B21</s:f>
        <s:v>12</s:v>
      </s:c>
      <s:c r="Z7" t="str">
        <s:f>'Сводная статистика'!A21&amp;" "&amp;TEXT('Сводная статистика'!B21,"0")</s:f>
        <s:v>Неудачно 12</s:v>
      </s:c>
    </s:row>
    <s:row r="8" spans="1:14" ht="25" customHeight="1">
      <s:c r="A8" s="7" t="s">
        <s:v>5</s:v>
      </s:c>
      <s:c r="B8" s="17" t="str">
        <s:f>INT(ROUND('Данные принтеров'!C14,0)/86400)&amp;" д "&amp;TEXT(ROUND('Данные принтеров'!C14,0)/86400,"h"" ч ""m"" мин ""s"" с""")</s:f>
        <s:v>765 д h ч m мин s с</s:v>
      </s:c>
      <s:c r="C8" s="1"/>
      <s:c r="D8" s="1"/>
      <s:c r="E8" s="1"/>
      <s:c r="F8" s="1"/>
      <s:c r="G8" s="1"/>
      <s:c r="H8" s="1"/>
      <s:c r="I8" s="1"/>
      <s:c r="J8" s="1"/>
      <s:c r="K8" s="1"/>
      <s:c r="L8" s="1"/>
      <s:c r="M8" s="1"/>
      <s:c r="N8" s="1"/>
    </s:row>
    <s:row r="9" spans="1:14" ht="25" customHeight="1">
      <s:c r="A9" s="1" t="s">
        <s:v>6</s:v>
      </s:c>
      <s:c r="B9" s="6" t="str">
        <s:f>INT(ROUND('Данные принтеров'!D14,0)/86400)&amp;" д "&amp;TEXT(ROUND('Данные принтеров'!D14,0)/86400,"h"" ч ""m"" мин ""s"" с""")</s:f>
        <s:v>4 д h ч m мин s с</s:v>
      </s:c>
      <s:c r="C9" s="1"/>
      <s:c r="D9" s="1"/>
      <s:c r="E9" s="1"/>
      <s:c r="F9" s="1"/>
      <s:c r="G9" s="1"/>
      <s:c r="H9" s="1"/>
      <s:c r="I9" s="1"/>
      <s:c r="J9" s="1"/>
      <s:c r="K9" s="1"/>
      <s:c r="L9" s="1"/>
      <s:c r="M9" s="1"/>
      <s:c r="N9" s="1"/>
    </s:row>
    <s:row r="10" spans="1:14" ht="25" customHeight="1">
      <s:c r="A10" s="7" t="s">
        <s:v>7</s:v>
      </s:c>
      <s:c r="B10" s="17" t="str">
        <s:f>TEXT(ROUND('Данные принтеров'!C14/'Данные принтеров'!F14,0)/86400,"h"" ч ""m"" мин ""s"" с""")</s:f>
        <s:v>h ч m мин s с</s:v>
      </s:c>
      <s:c r="C10" s="1"/>
      <s:c r="D10" s="1"/>
      <s:c r="E10" s="1"/>
      <s:c r="F10" s="1"/>
      <s:c r="G10" s="1"/>
      <s:c r="H10" s="1"/>
      <s:c r="I10" s="1"/>
      <s:c r="J10" s="1"/>
      <s:c r="K10" s="1"/>
      <s:c r="L10" s="1"/>
      <s:c r="M10" s="1"/>
      <s:c r="N10" s="1"/>
    </s:row>
    <s:row r="11" spans="1:14" ht="25" customHeight="1">
      <s:c r="A11" s="1" t="s">
        <s:v>8</s:v>
      </s:c>
      <s:c r="B11" s="16">
        <s:f>ROUND('Данные принтеров'!E14/1000,1)</s:f>
        <s:v>51760.1</s:v>
      </s:c>
      <s:c r="C11" s="1"/>
      <s:c r="D11" s="1"/>
      <s:c r="E11" s="1"/>
      <s:c r="F11" s="1"/>
      <s:c r="G11" s="1"/>
      <s:c r="H11" s="1"/>
      <s:c r="I11" s="1"/>
      <s:c r="J11" s="1"/>
      <s:c r="K11" s="1"/>
      <s:c r="L11" s="1"/>
      <s:c r="M11" s="1"/>
      <s:c r="N11" s="1"/>
    </s:row>
    <s:row r="12" spans="1:14" ht="25" customHeight="1">
      <s:c r="A12" s="7" t="s">
        <s:v>9</s:v>
      </s:c>
      <s:c r="B12" s="18">
        <s:f>'Данные принтеров'!F14</s:f>
        <s:v>4667</s:v>
      </s:c>
      <s:c r="C12" s="1"/>
      <s:c r="D12" s="1"/>
      <s:c r="E12" s="1"/>
      <s:c r="F12" s="1"/>
      <s:c r="G12" s="1"/>
      <s:c r="H12" s="1"/>
      <s:c r="I12" s="1"/>
      <s:c r="J12" s="1"/>
      <s:c r="K12" s="1"/>
      <s:c r="L12" s="1"/>
      <s:c r="M12" s="1"/>
      <s:c r="N12" s="1"/>
    </s:row>
    <s:row r="13" spans="1:14" ht="25" customHeight="1">
      <s:c r="A13" s="1"/>
      <s:c r="B13" s="1"/>
      <s:c r="C13" s="1"/>
      <s:c r="D13" s="1"/>
      <s:c r="E13" s="1"/>
      <s:c r="F13" s="1"/>
      <s:c r="G13" s="1"/>
      <s:c r="H13" s="1"/>
      <s:c r="I13" s="1"/>
      <s:c r="J13" s="1"/>
      <s:c r="K13" s="1"/>
      <s:c r="L13" s="1"/>
      <s:c r="M13" s="1"/>
      <s:c r="N13" s="1"/>
    </s:row>
    <s:row r="14" spans="1:14" ht="25" customHeight="1">
      <s:c r="A14" s="1"/>
      <s:c r="B14" s="1"/>
      <s:c r="C14" s="1"/>
      <s:c r="D14" s="1"/>
      <s:c r="E14" s="1"/>
      <s:c r="F14" s="1"/>
      <s:c r="G14" s="1"/>
      <s:c r="H14" s="1"/>
      <s:c r="I14" s="1"/>
      <s:c r="J14" s="1"/>
      <s:c r="K14" s="1"/>
      <s:c r="L14" s="1"/>
      <s:c r="M14" s="1"/>
      <s:c r="N14" s="1"/>
    </s:row>
    <s:row r="15" spans="1:14" ht="30" customHeight="1">
      <s:c r="A15" s="2" t="s">
        <s:v>10</s:v>
      </s:c>
      <s:c r="B15" s="2" t="s">
        <s:v>11</s:v>
      </s:c>
      <s:c r="C15" s="2" t="s">
        <s:v>12</s:v>
      </s:c>
      <s:c r="D15" s="1"/>
      <s:c r="E15" s="1"/>
      <s:c r="F15" s="1"/>
      <s:c r="G15" s="1"/>
      <s:c r="H15" s="1"/>
      <s:c r="I15" s="1"/>
      <s:c r="J15" s="1"/>
      <s:c r="K15" s="1"/>
      <s:c r="L15" s="1"/>
      <s:c r="M15" s="1"/>
      <s:c r="N15" s="1"/>
    </s:row>
    <s:row r="16" spans="1:14" ht="25" customHeight="1">
      <s:c r="A16" s="7" t="s">
        <s:v>13</s:v>
      </s:c>
      <s:c r="B16" s="9">
        <s:f>'Данные принтеров'!H14</s:f>
        <s:v>3063</s:v>
      </s:c>
      <s:c r="C16" s="20">
        <s:f t="shared" ref="C16:C21" si="0">B16/$B$22</s:f>
        <s:v>0.66012931034482758</s:v>
      </s:c>
      <s:c r="D16" s="1"/>
      <s:c r="E16" s="1"/>
      <s:c r="F16" s="1"/>
      <s:c r="G16" s="1"/>
      <s:c r="H16" s="1"/>
      <s:c r="I16" s="1"/>
      <s:c r="J16" s="1"/>
      <s:c r="K16" s="1"/>
      <s:c r="L16" s="1"/>
      <s:c r="M16" s="1"/>
      <s:c r="N16" s="1"/>
    </s:row>
    <s:row r="17" spans="1:14" ht="25" customHeight="1">
      <s:c r="A17" s="1" t="s">
        <s:v>14</s:v>
      </s:c>
      <s:c r="B17" s="5">
        <s:f>'Данные принтеров'!I14</s:f>
        <s:v>1237</s:v>
      </s:c>
      <s:c r="C17" s="19">
        <s:f t="shared" si="0"/>
        <s:v>0.2665948275862069</s:v>
      </s:c>
      <s:c r="D17" s="1"/>
      <s:c r="E17" s="1"/>
      <s:c r="F17" s="1"/>
      <s:c r="G17" s="1"/>
      <s:c r="H17" s="1"/>
      <s:c r="I17" s="1"/>
      <s:c r="J17" s="1"/>
      <s:c r="K17" s="1"/>
      <s:c r="L17" s="1"/>
      <s:c r="M17" s="1"/>
      <s:c r="N17" s="1"/>
    </s:row>
    <s:row r="18" spans="1:14" ht="25" customHeight="1">
      <s:c r="A18" s="7" t="s">
        <s:v>15</s:v>
      </s:c>
      <s:c r="B18" s="9">
        <s:f>'Данные принтеров'!J14</s:f>
        <s:v>244</s:v>
      </s:c>
      <s:c r="C18" s="20">
        <s:f t="shared" si="0"/>
        <s:v>5.2586206896551725E-2</s:v>
      </s:c>
      <s:c r="D18" s="1"/>
      <s:c r="E18" s="1"/>
      <s:c r="F18" s="1"/>
      <s:c r="G18" s="1"/>
      <s:c r="H18" s="1"/>
      <s:c r="I18" s="1"/>
      <s:c r="J18" s="1"/>
      <s:c r="K18" s="1"/>
      <s:c r="L18" s="1"/>
      <s:c r="M18" s="1"/>
      <s:c r="N18" s="1"/>
    </s:row>
    <s:row r="19" spans="1:14" ht="25" customHeight="1">
      <s:c r="A19" s="1" t="s">
        <s:v>16</s:v>
      </s:c>
      <s:c r="B19" s="5">
        <s:f>'Данные принтеров'!K14</s:f>
        <s:v>72</s:v>
      </s:c>
      <s:c r="C19" s="19">
        <s:f t="shared" si="0"/>
        <s:v>1.5517241379310345E-2</s:v>
      </s:c>
      <s:c r="D19" s="1"/>
      <s:c r="E19" s="1"/>
      <s:c r="F19" s="1"/>
      <s:c r="G19" s="1"/>
      <s:c r="H19" s="1"/>
      <s:c r="I19" s="1"/>
      <s:c r="J19" s="1"/>
      <s:c r="K19" s="1"/>
      <s:c r="L19" s="1"/>
      <s:c r="M19" s="1"/>
      <s:c r="N19" s="1"/>
    </s:row>
    <s:row r="20" spans="1:14" ht="25" customHeight="1">
      <s:c r="A20" s="7" t="s">
        <s:v>17</s:v>
      </s:c>
      <s:c r="B20" s="9">
        <s:f>'Данные принтеров'!L14</s:f>
        <s:v>12</s:v>
      </s:c>
      <s:c r="C20" s="20">
        <s:f t="shared" si="0"/>
        <s:v>2.5862068965517241E-3</s:v>
      </s:c>
      <s:c r="D20" s="1"/>
      <s:c r="E20" s="1"/>
      <s:c r="F20" s="1"/>
      <s:c r="G20" s="1"/>
      <s:c r="H20" s="1"/>
      <s:c r="I20" s="1"/>
      <s:c r="J20" s="1"/>
      <s:c r="K20" s="1"/>
      <s:c r="L20" s="1"/>
      <s:c r="M20" s="1"/>
      <s:c r="N20" s="1"/>
    </s:row>
    <s:row r="21" spans="1:14" ht="25" customHeight="1">
      <s:c r="A21" s="1" t="s">
        <s:v>18</s:v>
      </s:c>
      <s:c r="B21" s="5">
        <s:f>'Данные принтеров'!M14</s:f>
        <s:v>12</s:v>
      </s:c>
      <s:c r="C21" s="19">
        <s:f t="shared" si="0"/>
        <s:v>2.5862068965517241E-3</s:v>
      </s:c>
      <s:c r="D21" s="1"/>
      <s:c r="E21" s="1"/>
      <s:c r="F21" s="1"/>
      <s:c r="G21" s="1"/>
      <s:c r="H21" s="1"/>
      <s:c r="I21" s="1"/>
      <s:c r="J21" s="1"/>
      <s:c r="K21" s="1"/>
      <s:c r="L21" s="1"/>
      <s:c r="M21" s="1"/>
      <s:c r="N21" s="1"/>
    </s:row>
    <s:row r="22" spans="1:14" ht="25" customHeight="1">
      <s:c r="A22" s="10" t="s">
        <s:v>19</s:v>
      </s:c>
      <s:c r="B22" s="12">
        <s:f>SUM(B16:B21)</s:f>
        <s:v>4640</s:v>
      </s:c>
      <s:c r="C22" s="21">
        <s:f>SUM(C16:C21)</s:f>
        <s:v>1</s:v>
      </s:c>
      <s:c r="D22" s="1"/>
      <s:c r="E22" s="1"/>
      <s:c r="F22" s="1"/>
      <s:c r="G22" s="1"/>
      <s:c r="H22" s="1"/>
      <s:c r="I22" s="1"/>
      <s:c r="J22" s="1"/>
      <s:c r="K22" s="1"/>
      <s:c r="L22" s="1"/>
      <s:c r="M22" s="1"/>
      <s:c r="N22" s="1"/>
    </s:row>
    <s:row r="23" spans="1:14" ht="25" customHeight="1">
      <s:c r="A23" s="1"/>
      <s:c r="B23" s="1"/>
      <s:c r="C23" s="1"/>
      <s:c r="D23" s="1"/>
      <s:c r="E23" s="1"/>
      <s:c r="F23" s="1"/>
      <s:c r="G23" s="1"/>
      <s:c r="H23" s="1"/>
      <s:c r="I23" s="1"/>
      <s:c r="J23" s="1"/>
      <s:c r="K23" s="1"/>
      <s:c r="L23" s="1"/>
      <s:c r="M23" s="1"/>
      <s:c r="N23" s="1"/>
    </s:row>
    <s:row r="24" spans="1:14" ht="25" customHeight="1">
      <s:c r="A24" s="1"/>
      <s:c r="B24" s="1"/>
      <s:c r="C24" s="1"/>
      <s:c r="D24" s="1"/>
      <s:c r="E24" s="1"/>
      <s:c r="F24" s="1"/>
      <s:c r="G24" s="1"/>
      <s:c r="H24" s="1"/>
      <s:c r="I24" s="1"/>
      <s:c r="J24" s="1"/>
      <s:c r="K24" s="1"/>
      <s:c r="L24" s="1"/>
      <s:c r="M24" s="1"/>
      <s:c r="N24" s="1"/>
    </s:row>
    <s:row r="25" spans="1:14" ht="25" customHeight="1">
      <s:c r="A25" s="22" t="s">
        <s:v>20</s:v>
      </s:c>
      <s:c r="B25" s="23">
        <s:f>B12-B22</s:f>
        <s:v>27</s:v>
      </s:c>
      <s:c r="C25" s="1"/>
      <s:c r="D25" s="1"/>
      <s:c r="E25" s="1"/>
      <s:c r="F25" s="1"/>
      <s:c r="G25" s="1"/>
      <s:c r="H25" s="1"/>
      <s:c r="I25" s="1"/>
      <s:c r="J25" s="1"/>
      <s:c r="K25" s="1"/>
      <s:c r="L25" s="1"/>
      <s:c r="M25" s="1"/>
      <s:c r="N25" s="1"/>
    </s:row>
    <s:row r="26" spans="1:14" ht="25" customHeight="1">
      <s:c r="A26" s="13" t="s">
        <s:v>21</s:v>
      </s:c>
      <s:c r="B26" s="13"/>
      <s:c r="C26" s="13"/>
      <s:c r="D26" s="13"/>
      <s:c r="E26" s="13"/>
      <s:c r="F26" s="13"/>
      <s:c r="G26" s="13"/>
      <s:c r="H26" s="13"/>
      <s:c r="I26" s="13"/>
      <s:c r="J26" s="13"/>
      <s:c r="K26" s="13"/>
      <s:c r="L26" s="13"/>
      <s:c r="M26" s="13"/>
      <s:c r="N26" s="13"/>
    </s:row>
    <s:row r="27" spans="1:14" ht="25" customHeight="1">
      <s:c r="A27" s="13" t="s">
        <s:v>22</s:v>
      </s:c>
      <s:c r="B27" s="13"/>
      <s:c r="C27" s="13"/>
      <s:c r="D27" s="13"/>
      <s:c r="E27" s="13"/>
      <s:c r="F27" s="13"/>
      <s:c r="G27" s="13"/>
      <s:c r="H27" s="13"/>
      <s:c r="I27" s="13"/>
      <s:c r="J27" s="13"/>
      <s:c r="K27" s="13"/>
      <s:c r="L27" s="13"/>
      <s:c r="M27" s="13"/>
      <s:c r="N27" s="13"/>
    </s:row>
    <s:row r="28" spans="1:14" ht="25" customHeight="1">
      <s:c r="A28" s="13" t="s">
        <s:v>23</s:v>
      </s:c>
      <s:c r="B28" s="13"/>
      <s:c r="C28" s="13"/>
      <s:c r="D28" s="13"/>
      <s:c r="E28" s="13"/>
      <s:c r="F28" s="13"/>
      <s:c r="G28" s="13"/>
      <s:c r="H28" s="13"/>
      <s:c r="I28" s="13"/>
      <s:c r="J28" s="13"/>
      <s:c r="K28" s="13"/>
      <s:c r="L28" s="13"/>
      <s:c r="M28" s="13"/>
      <s:c r="N28" s="13"/>
    </s:row>
    <s:row r="29" spans="1:14" ht="25" customHeight="1">
      <s:c r="A29" s="1"/>
      <s:c r="B29" s="1"/>
      <s:c r="C29" s="1"/>
      <s:c r="D29" s="1"/>
      <s:c r="E29" s="1"/>
      <s:c r="F29" s="1"/>
      <s:c r="G29" s="1"/>
      <s:c r="H29" s="1"/>
      <s:c r="I29" s="1"/>
      <s:c r="J29" s="1"/>
      <s:c r="K29" s="1"/>
      <s:c r="L29" s="1"/>
      <s:c r="M29" s="1"/>
      <s:c r="N29" s="1"/>
    </s:row>
    <s:row r="30" spans="1:14" ht="25" customHeight="1">
      <s:c r="A30" s="1"/>
      <s:c r="B30" s="1"/>
      <s:c r="C30" s="1"/>
      <s:c r="D30" s="1"/>
      <s:c r="E30" s="1"/>
      <s:c r="F30" s="1"/>
      <s:c r="G30" s="1"/>
      <s:c r="H30" s="1"/>
      <s:c r="I30" s="1"/>
      <s:c r="J30" s="1"/>
      <s:c r="K30" s="1"/>
      <s:c r="L30" s="1"/>
      <s:c r="M30" s="1"/>
      <s:c r="N30" s="1"/>
    </s:row>
  </s:sheetData>
  <s:pageMargins left="0.7" right="0.7" top="0.75" bottom="0.75" header="0.3" footer="0.3"/>
  <s:drawing ns3:id="rId1"/>
</s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5" customWidth="1"/>
    <col min="2" max="2" width="21" customWidth="1"/>
    <col min="3" max="5" width="24" customWidth="1"/>
    <col min="6" max="7" width="19" customWidth="1"/>
    <col min="8" max="13" width="21" customWidth="1"/>
    <col min="14" max="14" width="36" customWidth="1"/>
  </cols>
  <sheetData>
    <row r="1" spans="1:14" ht="44" customHeigh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19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30</v>
      </c>
    </row>
    <row r="2" spans="1:14" ht="25" customHeight="1">
      <c r="A2" s="7" t="s">
        <v>31</v>
      </c>
      <c r="B2" s="7" t="s">
        <v>32</v>
      </c>
      <c r="C2" s="8">
        <v>3283432.311992785</v>
      </c>
      <c r="D2" s="8">
        <v>407840.884219317</v>
      </c>
      <c r="E2" s="8">
        <v>2808645.4923700006</v>
      </c>
      <c r="F2" s="9">
        <v>285</v>
      </c>
      <c r="G2" s="9">
        <v>290</v>
      </c>
      <c r="H2" s="9">
        <v>144</v>
      </c>
      <c r="I2" s="9">
        <v>124</v>
      </c>
      <c r="J2" s="9">
        <v>14</v>
      </c>
      <c r="K2" s="9">
        <v>7</v>
      </c>
      <c r="L2" s="9">
        <v>0</v>
      </c>
      <c r="M2" s="9">
        <v>1</v>
      </c>
      <c r="N2" s="7" t="s">
        <v>33</v>
      </c>
    </row>
    <row r="3" spans="1:14" ht="25" customHeight="1">
      <c r="A3" s="1" t="s">
        <v>34</v>
      </c>
      <c r="B3" s="1" t="s">
        <v>35</v>
      </c>
      <c r="C3" s="4">
        <v>5110124.6819955837</v>
      </c>
      <c r="D3" s="4">
        <v>240826.93712984998</v>
      </c>
      <c r="E3" s="4">
        <v>3819551.6018210305</v>
      </c>
      <c r="F3" s="5">
        <v>289</v>
      </c>
      <c r="G3" s="5">
        <v>292</v>
      </c>
      <c r="H3" s="5">
        <v>170</v>
      </c>
      <c r="I3" s="5">
        <v>104</v>
      </c>
      <c r="J3" s="5">
        <v>14</v>
      </c>
      <c r="K3" s="5">
        <v>3</v>
      </c>
      <c r="L3" s="5">
        <v>0</v>
      </c>
      <c r="M3" s="5">
        <v>1</v>
      </c>
      <c r="N3" s="1" t="s">
        <v>36</v>
      </c>
    </row>
    <row r="4" spans="1:14" ht="25" customHeight="1">
      <c r="A4" s="7" t="s">
        <v>37</v>
      </c>
      <c r="B4" s="7" t="s">
        <v>38</v>
      </c>
      <c r="C4" s="8">
        <v>1342122.3610655204</v>
      </c>
      <c r="D4" s="8">
        <v>68287.820344211068</v>
      </c>
      <c r="E4" s="8">
        <v>1323972.5697899801</v>
      </c>
      <c r="F4" s="9">
        <v>89</v>
      </c>
      <c r="G4" s="9">
        <v>88</v>
      </c>
      <c r="H4" s="9">
        <v>56</v>
      </c>
      <c r="I4" s="9">
        <v>17</v>
      </c>
      <c r="J4" s="9">
        <v>11</v>
      </c>
      <c r="K4" s="9">
        <v>2</v>
      </c>
      <c r="L4" s="9">
        <v>0</v>
      </c>
      <c r="M4" s="9">
        <v>2</v>
      </c>
      <c r="N4" s="7" t="s">
        <v>39</v>
      </c>
    </row>
    <row r="5" spans="1:14" ht="25" customHeight="1">
      <c r="A5" s="1" t="s">
        <v>40</v>
      </c>
      <c r="B5" s="1" t="s">
        <v>41</v>
      </c>
      <c r="C5" s="4">
        <v>2599878.8314560885</v>
      </c>
      <c r="D5" s="4">
        <v>92067.798591806</v>
      </c>
      <c r="E5" s="4">
        <v>2608314.967953241</v>
      </c>
      <c r="F5" s="5">
        <v>222</v>
      </c>
      <c r="G5" s="5">
        <v>256</v>
      </c>
      <c r="H5" s="5">
        <v>111</v>
      </c>
      <c r="I5" s="5">
        <v>69</v>
      </c>
      <c r="J5" s="5">
        <v>66</v>
      </c>
      <c r="K5" s="5">
        <v>10</v>
      </c>
      <c r="L5" s="5">
        <v>0</v>
      </c>
      <c r="M5" s="5">
        <v>0</v>
      </c>
      <c r="N5" s="1" t="s">
        <v>42</v>
      </c>
    </row>
    <row r="6" spans="1:14" ht="25" customHeight="1">
      <c r="A6" s="7" t="s">
        <v>43</v>
      </c>
      <c r="B6" s="7" t="s">
        <v>44</v>
      </c>
      <c r="C6" s="8">
        <v>1285879.780078752</v>
      </c>
      <c r="D6" s="8">
        <v>62521.023556879001</v>
      </c>
      <c r="E6" s="8">
        <v>1678266.1905297909</v>
      </c>
      <c r="F6" s="9">
        <v>129</v>
      </c>
      <c r="G6" s="9">
        <v>133</v>
      </c>
      <c r="H6" s="9">
        <v>81</v>
      </c>
      <c r="I6" s="9">
        <v>41</v>
      </c>
      <c r="J6" s="9">
        <v>9</v>
      </c>
      <c r="K6" s="9">
        <v>2</v>
      </c>
      <c r="L6" s="9">
        <v>0</v>
      </c>
      <c r="M6" s="9">
        <v>0</v>
      </c>
      <c r="N6" s="7" t="s">
        <v>45</v>
      </c>
    </row>
    <row r="7" spans="1:14" ht="25" customHeight="1">
      <c r="A7" s="1" t="s">
        <v>46</v>
      </c>
      <c r="B7" s="1" t="s">
        <v>47</v>
      </c>
      <c r="C7" s="4">
        <v>12319850.915577138</v>
      </c>
      <c r="D7" s="4">
        <v>201447.63243492402</v>
      </c>
      <c r="E7" s="4">
        <v>9054976.1280580945</v>
      </c>
      <c r="F7" s="5">
        <v>1039</v>
      </c>
      <c r="G7" s="5">
        <v>1046</v>
      </c>
      <c r="H7" s="5">
        <v>736</v>
      </c>
      <c r="I7" s="5">
        <v>257</v>
      </c>
      <c r="J7" s="5">
        <v>40</v>
      </c>
      <c r="K7" s="5">
        <v>6</v>
      </c>
      <c r="L7" s="5">
        <v>1</v>
      </c>
      <c r="M7" s="5">
        <v>6</v>
      </c>
      <c r="N7" s="1" t="s">
        <v>48</v>
      </c>
    </row>
    <row r="8" spans="1:14" ht="25" customHeight="1">
      <c r="A8" s="7" t="s">
        <v>49</v>
      </c>
      <c r="B8" s="7" t="s">
        <v>50</v>
      </c>
      <c r="C8" s="8">
        <v>14764661.29171915</v>
      </c>
      <c r="D8" s="8">
        <v>195748.64786772398</v>
      </c>
      <c r="E8" s="8">
        <v>10839956.247528652</v>
      </c>
      <c r="F8" s="9">
        <v>1459</v>
      </c>
      <c r="G8" s="9">
        <v>1359</v>
      </c>
      <c r="H8" s="9">
        <v>921</v>
      </c>
      <c r="I8" s="9">
        <v>351</v>
      </c>
      <c r="J8" s="9">
        <v>51</v>
      </c>
      <c r="K8" s="9">
        <v>31</v>
      </c>
      <c r="L8" s="9">
        <v>3</v>
      </c>
      <c r="M8" s="9">
        <v>2</v>
      </c>
      <c r="N8" s="7" t="s">
        <v>51</v>
      </c>
    </row>
    <row r="9" spans="1:14" ht="25" customHeight="1">
      <c r="A9" s="1" t="s">
        <v>52</v>
      </c>
      <c r="B9" s="1" t="s">
        <v>53</v>
      </c>
      <c r="C9" s="4">
        <v>34640.541010587047</v>
      </c>
      <c r="D9" s="4">
        <v>12480.125755500048</v>
      </c>
      <c r="E9" s="4">
        <v>48226.914519999955</v>
      </c>
      <c r="F9" s="5">
        <v>7</v>
      </c>
      <c r="G9" s="5">
        <v>7</v>
      </c>
      <c r="H9" s="5">
        <v>6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1" t="s">
        <v>54</v>
      </c>
    </row>
    <row r="10" spans="1:14" ht="25" customHeight="1">
      <c r="A10" s="7" t="s">
        <v>55</v>
      </c>
      <c r="B10" s="7" t="s">
        <v>56</v>
      </c>
      <c r="C10" s="8">
        <v>25351414.54701101</v>
      </c>
      <c r="D10" s="8">
        <v>114006.29811895778</v>
      </c>
      <c r="E10" s="8">
        <v>19547414.347317189</v>
      </c>
      <c r="F10" s="9">
        <v>1119</v>
      </c>
      <c r="G10" s="9">
        <v>1139</v>
      </c>
      <c r="H10" s="9">
        <v>825</v>
      </c>
      <c r="I10" s="9">
        <v>258</v>
      </c>
      <c r="J10" s="9">
        <v>37</v>
      </c>
      <c r="K10" s="9">
        <v>11</v>
      </c>
      <c r="L10" s="9">
        <v>8</v>
      </c>
      <c r="M10" s="9">
        <v>0</v>
      </c>
      <c r="N10" s="7" t="s">
        <v>57</v>
      </c>
    </row>
    <row r="11" spans="1:14" ht="25" customHeight="1">
      <c r="A11" s="1" t="s">
        <v>58</v>
      </c>
      <c r="B11" s="1" t="s">
        <v>59</v>
      </c>
      <c r="C11" s="4">
        <v>31495.800933186991</v>
      </c>
      <c r="D11" s="4">
        <v>7806.7207756810003</v>
      </c>
      <c r="E11" s="4">
        <v>30742.254789999995</v>
      </c>
      <c r="F11" s="5">
        <v>29</v>
      </c>
      <c r="G11" s="5">
        <v>30</v>
      </c>
      <c r="H11" s="5">
        <v>13</v>
      </c>
      <c r="I11" s="5">
        <v>15</v>
      </c>
      <c r="J11" s="5">
        <v>2</v>
      </c>
      <c r="K11" s="5">
        <v>0</v>
      </c>
      <c r="L11" s="5">
        <v>0</v>
      </c>
      <c r="M11" s="5">
        <v>0</v>
      </c>
      <c r="N11" s="1" t="s">
        <v>60</v>
      </c>
    </row>
    <row r="12" spans="1:14" ht="25" customHeight="1">
      <c r="A12" s="1"/>
      <c r="B12" s="1"/>
      <c r="C12" s="6"/>
      <c r="D12" s="6"/>
      <c r="E12" s="6"/>
      <c r="F12" s="5"/>
      <c r="G12" s="5"/>
      <c r="H12" s="5"/>
      <c r="I12" s="5"/>
      <c r="J12" s="5"/>
      <c r="K12" s="5"/>
      <c r="L12" s="5"/>
      <c r="M12" s="5"/>
      <c r="N12" s="1"/>
    </row>
    <row r="13" spans="1:14" ht="25" customHeight="1">
      <c r="A13" s="1"/>
      <c r="B13" s="1"/>
      <c r="C13" s="6"/>
      <c r="D13" s="6"/>
      <c r="E13" s="6"/>
      <c r="F13" s="5"/>
      <c r="G13" s="5"/>
      <c r="H13" s="5"/>
      <c r="I13" s="5"/>
      <c r="J13" s="5"/>
      <c r="K13" s="5"/>
      <c r="L13" s="5"/>
      <c r="M13" s="5"/>
      <c r="N13" s="1"/>
    </row>
    <row r="14" spans="1:14" ht="25" customHeight="1">
      <c r="A14" s="10" t="s">
        <v>61</v>
      </c>
      <c r="B14" s="10"/>
      <c r="C14" s="11">
        <f>SUM(C2:C11)</f>
        <v>66123501.062839806</v>
      </c>
      <c r="D14" s="11">
        <f>MAX(D2:D11)</f>
        <v>407840.884219317</v>
      </c>
      <c r="E14" s="11">
        <f t="shared" ref="E14:M14" si="0">SUM(E2:E11)</f>
        <v>51760066.714677982</v>
      </c>
      <c r="F14" s="12">
        <f t="shared" si="0"/>
        <v>4667</v>
      </c>
      <c r="G14" s="12">
        <f t="shared" si="0"/>
        <v>4640</v>
      </c>
      <c r="H14" s="12">
        <f t="shared" si="0"/>
        <v>3063</v>
      </c>
      <c r="I14" s="12">
        <f t="shared" si="0"/>
        <v>1237</v>
      </c>
      <c r="J14" s="12">
        <f t="shared" si="0"/>
        <v>244</v>
      </c>
      <c r="K14" s="12">
        <f t="shared" si="0"/>
        <v>72</v>
      </c>
      <c r="L14" s="12">
        <f t="shared" si="0"/>
        <v>12</v>
      </c>
      <c r="M14" s="12">
        <f t="shared" si="0"/>
        <v>12</v>
      </c>
      <c r="N14" s="10"/>
    </row>
    <row r="15" spans="1:14" ht="25" customHeight="1">
      <c r="A15" s="1"/>
      <c r="B15" s="1"/>
      <c r="C15" s="6"/>
      <c r="D15" s="6"/>
      <c r="E15" s="6"/>
      <c r="F15" s="5"/>
      <c r="G15" s="5"/>
      <c r="H15" s="5"/>
      <c r="I15" s="5"/>
      <c r="J15" s="5"/>
      <c r="K15" s="5"/>
      <c r="L15" s="5"/>
      <c r="M15" s="5"/>
      <c r="N15" s="1"/>
    </row>
    <row r="16" spans="1:14" ht="25" customHeight="1">
      <c r="A16" s="13" t="s">
        <v>62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25" customHeight="1">
      <c r="A17" s="13" t="s">
        <v>63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25" customHeight="1">
      <c r="A18" s="13" t="s">
        <v>64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25" customHeight="1">
      <c r="A19" s="13" t="s">
        <v>65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25" customHeight="1">
      <c r="A20" s="13" t="s">
        <v>66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статистика</vt:lpstr>
      <vt:lpstr>Данные принтеров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Yawllen</cp:lastModifiedBy>
  <dcterms:modified xsi:type="dcterms:W3CDTF">2026-10-07T14:42:17Z</dcterms:modified>
</cp:coreProperties>
</file>