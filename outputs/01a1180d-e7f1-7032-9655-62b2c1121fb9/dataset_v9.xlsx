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b362ec255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тасет v9" sheetId="1" r:id="Rd6964d8f19d5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8">
    <x:font>
      <x:sz val="11"/>
      <x:name val="Carlito"/>
    </x:font>
    <x:font>
      <x:sz val="11"/>
      <x:color rgb="FF202020"/>
      <x:name val="Arial"/>
    </x:font>
    <x:font>
      <x:b/>
      <x:sz val="16"/>
      <x:color rgb="FF202020"/>
      <x:name val="Arial"/>
    </x:font>
    <x:font>
      <x:b/>
      <x:sz val="14"/>
      <x:color rgb="FF202020"/>
      <x:name val="Arial"/>
    </x:font>
    <x:font>
      <x:b/>
      <x:sz val="11"/>
      <x:color rgb="FFFFFFFF"/>
      <x:name val="Arial"/>
    </x:font>
    <x:font>
      <x:b/>
      <x:sz val="11"/>
      <x:color rgb="FF202020"/>
      <x:name val="Arial"/>
    </x:font>
    <x:font>
      <x:sz val="12"/>
      <x:color rgb="FF202020"/>
      <x:name val="Arial"/>
    </x:font>
    <x:font>
      <x:sz val="10"/>
      <x:color rgb="FF59616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3548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AAB2BC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5" fillId="0" borderId="1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ef954b68047f7" /><Relationship Type="http://schemas.openxmlformats.org/officeDocument/2006/relationships/theme" Target="/xl/theme/theme1.xml" Id="Rd8c0598c8d6548be" /><Relationship Type="http://schemas.openxmlformats.org/officeDocument/2006/relationships/sharedStrings" Target="/xl/sharedStrings.xml" Id="R24ce50d888a84dec" /><Relationship Type="http://schemas.openxmlformats.org/officeDocument/2006/relationships/worksheet" Target="/xl/worksheets/sheet1.xml" Id="Rd6964d8f19d544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4fd35f02e646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>
                <a:latin typeface="Arial"/>
                <a:ea typeface="Arial"/>
                <a:cs typeface="Arial"/>
              </a:rPr>
              <a:t>Распределение исходных кадров по выборкам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stacked"/>
        <c:varyColors val="0"/>
        <c:ser>
          <c:idx val="0"/>
          <c:order val="0"/>
          <c:tx>
            <c:v>Со «спагетти»</c:v>
          </c:tx>
          <c:spPr>
            <a:solidFill xmlns:a="http://schemas.openxmlformats.org/drawingml/2006/main">
              <a:srgbClr val="EFA49F"/>
            </a:solidFill>
          </c:spPr>
          <c:cat>
            <c:strRef>
              <c:f>'Датасет v9'!$B$42:$B$44</c:f>
              <c:strCache>
                <c:ptCount val="0"/>
              </c:strCache>
            </c:strRef>
          </c:cat>
          <c:val>
            <c:numRef>
              <c:f>'Датасет v9'!$C$42:$C$44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Без «спагетти»</c:v>
          </c:tx>
          <c:spPr>
            <a:solidFill xmlns:a="http://schemas.openxmlformats.org/drawingml/2006/main">
              <a:srgbClr val="9CD5AC"/>
            </a:solidFill>
          </c:spPr>
          <c:cat>
            <c:strRef>
              <c:f>'Датасет v9'!$B$42:$B$44</c:f>
              <c:strCache>
                <c:ptCount val="0"/>
              </c:strCache>
            </c:strRef>
          </c:cat>
          <c:val>
            <c:numRef>
              <c:f>'Датасет v9'!$D$42:$D$44</c:f>
              <c:numCache>
                <c:formatCode>#,##0</c:formatCode>
                <c:ptCount val="0"/>
              </c:numCache>
            </c:numRef>
          </c:val>
        </c:ser>
        <c:dLbls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500" b="1">
                  <a:latin typeface="Arial"/>
                  <a:ea typeface="Arial"/>
                  <a:cs typeface="Arial"/>
                </a:defRPr>
              </a:pPr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9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3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Количество кадров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2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3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3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4fd35f02e6468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797f922d574d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8" hidden="0" customWidth="1"/>
    <x:col min="7" max="7" width="40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/>
      <x:c r="B2" s="2" t="str">
        <x:v>Состав и разбиение датасета v9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8" t="str">
        <x:v>Баланс классов при обучении — 50/50: по 2 746 примеров каждого класса за эпоху.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3" t="str">
        <x:v>Исходные кадры без аугментаций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7" t="str">
        <x:v>Выборка</x:v>
      </x:c>
      <x:c r="C28" s="7" t="str">
        <x:v>Со «спагетти»</x:v>
      </x:c>
      <x:c r="D28" s="7" t="str">
        <x:v>Без «спагетти»</x:v>
      </x:c>
      <x:c r="E28" s="7" t="str">
        <x:v>Всего кадров</x:v>
      </x:c>
      <x:c r="F28" s="7" t="str">
        <x:v>Доля датасета</x:v>
      </x:c>
      <x:c r="G28" s="7" t="str">
        <x:v>Подпись диаграммы</x:v>
      </x:c>
      <x:c r="H28" s="1"/>
      <x:c r="I28" s="1"/>
      <x:c r="J28" s="1"/>
      <x:c r="K28" s="1"/>
      <x:c r="L28" s="1"/>
    </x:row>
    <x:row r="29" ht="24" customHeight="1">
      <x:c r="A29" s="1"/>
      <x:c r="B29" s="8" t="str">
        <x:v>Обучающая</x:v>
      </x:c>
      <x:c r="C29" s="10" t="n">
        <x:v>2746</x:v>
      </x:c>
      <x:c r="D29" s="10" t="n">
        <x:v>6942</x:v>
      </x:c>
      <x:c r="E29" s="10" t="n">
        <x:f>SUM(C29:D29)</x:f>
        <x:v>9688</x:v>
      </x:c>
      <x:c r="F29" s="11" t="n">
        <x:f>E29/$E$32</x:f>
        <x:v>0.6049706506806545</x:v>
      </x:c>
      <x:c r="G29" s="8" t="str">
        <x:f>B29&amp;"  "&amp;TEXT(E29,"# ##0")&amp;" ("&amp;SUBSTITUTE(TEXT(F29,"0.0%"),".",",")&amp;")"</x:f>
        <x:v>Обучающая  9 688 (60,5%)</x:v>
      </x:c>
      <x:c r="H29" s="1"/>
      <x:c r="I29" s="1"/>
      <x:c r="J29" s="1"/>
      <x:c r="K29" s="1"/>
      <x:c r="L29" s="1"/>
    </x:row>
    <x:row r="30" ht="24" customHeight="1">
      <x:c r="A30" s="1"/>
      <x:c r="B30" s="8" t="str">
        <x:v>Валидационная</x:v>
      </x:c>
      <x:c r="C30" s="10" t="n">
        <x:v>910</x:v>
      </x:c>
      <x:c r="D30" s="10" t="n">
        <x:v>2079</x:v>
      </x:c>
      <x:c r="E30" s="10" t="n">
        <x:f>SUM(C30:D30)</x:f>
        <x:v>2989</x:v>
      </x:c>
      <x:c r="F30" s="11" t="n">
        <x:f>E30/$E$32</x:f>
        <x:v>0.18664918196577995</x:v>
      </x:c>
      <x:c r="G30" s="8" t="str">
        <x:f>B30&amp;"  "&amp;TEXT(E30,"# ##0")&amp;" ("&amp;SUBSTITUTE(TEXT(F30,"0.0%"),".",",")&amp;")"</x:f>
        <x:v>Валидационная  2 989 (18,7%)</x:v>
      </x:c>
      <x:c r="H30" s="1"/>
      <x:c r="I30" s="1"/>
      <x:c r="J30" s="1"/>
      <x:c r="K30" s="1"/>
      <x:c r="L30" s="1"/>
    </x:row>
    <x:row r="31" ht="24" customHeight="1">
      <x:c r="A31" s="1"/>
      <x:c r="B31" s="8" t="str">
        <x:v>Тестовая</x:v>
      </x:c>
      <x:c r="C31" s="10" t="n">
        <x:v>918</x:v>
      </x:c>
      <x:c r="D31" s="10" t="n">
        <x:v>2419</x:v>
      </x:c>
      <x:c r="E31" s="10" t="n">
        <x:f>SUM(C31:D31)</x:f>
        <x:v>3337</x:v>
      </x:c>
      <x:c r="F31" s="11" t="n">
        <x:f>E31/$E$32</x:f>
        <x:v>0.20838016735356563</x:v>
      </x:c>
      <x:c r="G31" s="8" t="str">
        <x:f>B31&amp;"  "&amp;TEXT(E31,"# ##0")&amp;" ("&amp;SUBSTITUTE(TEXT(F31,"0.0%"),".",",")&amp;")"</x:f>
        <x:v>Тестовая  3 337 (20,8%)</x:v>
      </x:c>
      <x:c r="H31" s="1"/>
      <x:c r="I31" s="1"/>
      <x:c r="J31" s="1"/>
      <x:c r="K31" s="1"/>
      <x:c r="L31" s="1"/>
    </x:row>
    <x:row r="32" ht="24" customHeight="1">
      <x:c r="A32" s="1"/>
      <x:c r="B32" s="15" t="str">
        <x:v>Всего</x:v>
      </x:c>
      <x:c r="C32" s="16" t="n">
        <x:f>SUM(C29:C31)</x:f>
        <x:v>4574</x:v>
      </x:c>
      <x:c r="D32" s="16" t="n">
        <x:f>SUM(D29:D31)</x:f>
        <x:v>11440</x:v>
      </x:c>
      <x:c r="E32" s="16" t="n">
        <x:f>SUM(E29:E31)</x:f>
        <x:v>16014</x:v>
      </x:c>
      <x:c r="F32" s="17" t="n">
        <x:f>SUM(F29:F31)</x:f>
        <x:v>1</x:v>
      </x:c>
      <x:c r="G32" s="15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9" t="str">
        <x:v>«Без спагетти» означает отсутствие целевого дефекта; возможны другие дефекты печати.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9" t="str">
        <x:v>Валидационная и тестовая выборки используются целиком, без аугментаций и балансировки.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9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9" t="str">
        <x:v>Источник: сохранённый эксперимент v9 от 07.10.2026, repartition_report.json.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9" t="str">
        <x:v>C:/Users/Yawllen/Documents/GitHub/printer-defect-server/models/spaghetti_presence_v9/repartition_report.json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 t="str">
        <x:v>Выборка</x:v>
      </x:c>
      <x:c r="C41" s="1" t="str">
        <x:v>Со «спагетти»</x:v>
      </x:c>
      <x:c r="D41" s="1" t="str">
        <x:v>Без «спагетти»</x:v>
      </x:c>
      <x:c r="E41" s="1"/>
      <x:c r="F41" s="1"/>
      <x:c r="G41" s="1"/>
      <x:c r="H41" s="1"/>
      <x:c r="I41" s="1"/>
      <x:c r="J41" s="1"/>
      <x:c r="K41" s="1"/>
      <x:c r="L41" s="1"/>
    </x:row>
    <x:row r="42" ht="36" customHeight="1">
      <x:c r="A42" s="1"/>
      <x:c r="B42" s="21" t="str">
        <x:f>G31</x:f>
        <x:v>Тестовая  3 337 (20,8%)</x:v>
      </x:c>
      <x:c r="C42" s="20" t="n">
        <x:f>C31</x:f>
        <x:v>918</x:v>
      </x:c>
      <x:c r="D42" s="20" t="n">
        <x:f>D31</x:f>
        <x:v>2419</x:v>
      </x:c>
      <x:c r="E42" s="1"/>
      <x:c r="F42" s="1"/>
      <x:c r="G42" s="1"/>
      <x:c r="H42" s="1"/>
      <x:c r="I42" s="1"/>
      <x:c r="J42" s="1"/>
      <x:c r="K42" s="1"/>
      <x:c r="L42" s="1"/>
    </x:row>
    <x:row r="43" ht="36" customHeight="1">
      <x:c r="A43" s="1"/>
      <x:c r="B43" s="21" t="str">
        <x:f>G30</x:f>
        <x:v>Валидационная  2 989 (18,7%)</x:v>
      </x:c>
      <x:c r="C43" s="20" t="n">
        <x:f>C30</x:f>
        <x:v>910</x:v>
      </x:c>
      <x:c r="D43" s="20" t="n">
        <x:f>D30</x:f>
        <x:v>2079</x:v>
      </x:c>
      <x:c r="E43" s="1"/>
      <x:c r="F43" s="1"/>
      <x:c r="G43" s="1"/>
      <x:c r="H43" s="1"/>
      <x:c r="I43" s="1"/>
      <x:c r="J43" s="1"/>
      <x:c r="K43" s="1"/>
      <x:c r="L43" s="1"/>
    </x:row>
    <x:row r="44" ht="36" customHeight="1">
      <x:c r="A44" s="1"/>
      <x:c r="B44" s="21" t="str">
        <x:f>G29</x:f>
        <x:v>Обучающая  9 688 (60,5%)</x:v>
      </x:c>
      <x:c r="C44" s="20" t="n">
        <x:f>C29</x:f>
        <x:v>2746</x:v>
      </x:c>
      <x:c r="D44" s="20" t="n">
        <x:f>D29</x:f>
        <x:v>6942</x:v>
      </x:c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</x:sheetData>
  <x:pageMargins left="0.7" right="0.7" top="0.75" bottom="0.75" header="0.3" footer="0.3"/>
  <x:drawing xmlns:r="http://schemas.openxmlformats.org/officeDocument/2006/relationships" r:id="Rbb797f922d574dfc"/>
</x:worksheet>
</file>